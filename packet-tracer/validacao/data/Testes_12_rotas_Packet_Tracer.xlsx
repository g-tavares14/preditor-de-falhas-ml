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s das 12 r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<sst xmlns="http://schemas.openxmlformats.org/spreadsheetml/2006/main" count="100" uniqueCount="69">
  <si>
    <t xml:space="preserve">Testes de ping das 12 rotas: Preditor de Falhas no Packet Tracer</t>
  </si>
  <si>
    <t xml:space="preserve">Ping ICMP IPv4 do Probe (origem) ao Alvo (destino). Células em azul são entradas suas; preencha as linhas Pendente depois de testar.</t>
  </si>
  <si>
    <t xml:space="preserve">#</t>
  </si>
  <si>
    <t xml:space="preserve">Rota</t>
  </si>
  <si>
    <t xml:space="preserve">Escopo</t>
  </si>
  <si>
    <t xml:space="preserve">Executar em</t>
  </si>
  <si>
    <t xml:space="preserve">Comando</t>
  </si>
  <si>
    <t xml:space="preserve">Enviados</t>
  </si>
  <si>
    <t xml:space="preserve">Recebidos</t>
  </si>
  <si>
    <t xml:space="preserve">Perda (%)</t>
  </si>
  <si>
    <t xml:space="preserve">TTL</t>
  </si>
  <si>
    <t xml:space="preserve">Mín (ms)</t>
  </si>
  <si>
    <t xml:space="preserve">Máx (ms)</t>
  </si>
  <si>
    <t xml:space="preserve">Média (ms)</t>
  </si>
  <si>
    <t xml:space="preserve">Status</t>
  </si>
  <si>
    <t xml:space="preserve">Observação</t>
  </si>
  <si>
    <t xml:space="preserve">BR → BR</t>
  </si>
  <si>
    <t xml:space="preserve">Curto</t>
  </si>
  <si>
    <t xml:space="preserve">Probe-BR</t>
  </si>
  <si>
    <t xml:space="preserve">ping 192.168.10.10</t>
  </si>
  <si>
    <t xml:space="preserve">Testado</t>
  </si>
  <si>
    <t xml:space="preserve">Mesma LAN (SW-BR); &lt;1ms, anotar como 0,5 ms no CSV</t>
  </si>
  <si>
    <t xml:space="preserve">BR → UY</t>
  </si>
  <si>
    <t xml:space="preserve">Regional</t>
  </si>
  <si>
    <t xml:space="preserve">ping 192.168.11.10</t>
  </si>
  <si>
    <t xml:space="preserve">1º pacote perdido (ARP); 2 roteadores no caminho</t>
  </si>
  <si>
    <t xml:space="preserve">BR → BO</t>
  </si>
  <si>
    <t xml:space="preserve">ping 192.168.12.10</t>
  </si>
  <si>
    <t xml:space="preserve">1º pacote perdido (ARP)</t>
  </si>
  <si>
    <t xml:space="preserve">BR → JP</t>
  </si>
  <si>
    <t xml:space="preserve">Longo</t>
  </si>
  <si>
    <t xml:space="preserve">ping 192.168.42.10</t>
  </si>
  <si>
    <t xml:space="preserve">1º pacote perdido (ARP); enlace serial</t>
  </si>
  <si>
    <t xml:space="preserve">BR → IN</t>
  </si>
  <si>
    <t xml:space="preserve">ping 192.168.40.10</t>
  </si>
  <si>
    <t xml:space="preserve">BR → ZA</t>
  </si>
  <si>
    <t xml:space="preserve">ping 192.168.30.10</t>
  </si>
  <si>
    <t xml:space="preserve">DE → DE</t>
  </si>
  <si>
    <t xml:space="preserve">Probe-DE</t>
  </si>
  <si>
    <t xml:space="preserve">ping 192.168.20.10</t>
  </si>
  <si>
    <t xml:space="preserve">Mesma LAN (SW-DE); &lt;1ms, anotar como 0,5 ms no CSV</t>
  </si>
  <si>
    <t xml:space="preserve">DE → PT</t>
  </si>
  <si>
    <t xml:space="preserve">ping 192.168.21.10</t>
  </si>
  <si>
    <t xml:space="preserve">Sem perda (ARP já aquecido); 2 roteadores no caminho</t>
  </si>
  <si>
    <t xml:space="preserve">AR → AR</t>
  </si>
  <si>
    <t xml:space="preserve">Probe-AR</t>
  </si>
  <si>
    <t xml:space="preserve">ping 192.168.13.10</t>
  </si>
  <si>
    <t xml:space="preserve">Mesma LAN (SW-AR); &lt;1ms, anotar como 0,5 ms no CSV</t>
  </si>
  <si>
    <t xml:space="preserve">ES → PL</t>
  </si>
  <si>
    <t xml:space="preserve">Probe-ES</t>
  </si>
  <si>
    <t xml:space="preserve">ping 192.168.23.10</t>
  </si>
  <si>
    <t xml:space="preserve">ZA → KE</t>
  </si>
  <si>
    <t xml:space="preserve">Probe-ZA</t>
  </si>
  <si>
    <t xml:space="preserve">ping 192.168.31.10</t>
  </si>
  <si>
    <t xml:space="preserve">IN → SG</t>
  </si>
  <si>
    <t xml:space="preserve">Probe-IN</t>
  </si>
  <si>
    <t xml:space="preserve">ping 192.168.41.10</t>
  </si>
  <si>
    <t xml:space="preserve">Resumo</t>
  </si>
  <si>
    <t xml:space="preserve">Rotas testadas</t>
  </si>
  <si>
    <t xml:space="preserve">Rotas pendentes</t>
  </si>
  <si>
    <t xml:space="preserve">Rotas com falha</t>
  </si>
  <si>
    <t xml:space="preserve">Perda média nas testadas</t>
  </si>
  <si>
    <t xml:space="preserve">Notas</t>
  </si>
  <si>
    <t xml:space="preserve">• Perda de 25% nas rotas entre países é só o 1º pacote (ARP/resolução); não é falha da rede.</t>
  </si>
  <si>
    <t xml:space="preserve">• Na coleta (Etapa 6), rode um ping de aquecimento antes de registrar a rajada, para o ARP não distorcer o baseline.</t>
  </si>
  <si>
    <t xml:space="preserve">• TTL 128 = mesma LAN (0 roteadores); TTL 126 = 2 roteadores no caminho.</t>
  </si>
  <si>
    <t xml:space="preserve">• O PT mostra tempos inteiros e '&lt;1ms'; a ATA manda anotar '&lt;1ms' como 0,5 ms no medicoes_pt.csv.</t>
  </si>
  <si>
    <t xml:space="preserve">• Mín/Máx/Média foram lidos da tela de estatísticas do ping (valores inteiros em ms). Perda é calculada por fórmula: (Enviados − Recebidos) / Enviados.</t>
  </si>
  <si>
    <t xml:space="preserve">• A rota 1 (BR → BR) foi testada antes das demais, na mesma sessão.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</si>
</sst>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1" min="10" style="1" width="9"/>
    <col collapsed="false" customWidth="true" hidden="false" outlineLevel="0" max="13" min="12" style="1" width="11"/>
    <col collapsed="false" customWidth="true" hidden="false" outlineLevel="0" max="14" min="14" style="1" width="4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true" outlineLevel="0" collapsed="false">
      <c r="A5" s="5" t="n">
        <v>1</v>
      </c>
      <c r="B5" s="6" t="s">
        <v>16</v>
      </c>
      <c r="C5" s="5" t="s">
        <v>17</v>
      </c>
      <c r="D5" s="5" t="s">
        <v>18</v>
      </c>
      <c r="E5" s="6" t="s">
        <v>19</v>
      </c>
      <c r="F5" s="7" t="n">
        <v>4</v>
      </c>
      <c r="G5" s="7" t="n">
        <v>4</v>
      </c>
      <c r="H5" s="8" t="n">
        <f aca="false">IF(OR(F5="",G5=""),"",(F5-G5)/F5)</f>
        <v>0</v>
      </c>
      <c r="I5" s="7" t="n">
        <v>128</v>
      </c>
      <c r="J5" s="7" t="n">
        <v>0</v>
      </c>
      <c r="K5" s="7" t="n">
        <v>0</v>
      </c>
      <c r="L5" s="7" t="n">
        <v>0</v>
      </c>
      <c r="M5" s="5" t="s">
        <v>20</v>
      </c>
      <c r="N5" s="9" t="s">
        <v>21</v>
      </c>
    </row>
    <row r="6" customFormat="false" ht="15" hidden="false" customHeight="true" outlineLevel="0" collapsed="false">
      <c r="A6" s="5" t="n">
        <v>2</v>
      </c>
      <c r="B6" s="6" t="s">
        <v>22</v>
      </c>
      <c r="C6" s="5" t="s">
        <v>23</v>
      </c>
      <c r="D6" s="5" t="s">
        <v>18</v>
      </c>
      <c r="E6" s="6" t="s">
        <v>24</v>
      </c>
      <c r="F6" s="7" t="n">
        <v>4</v>
      </c>
      <c r="G6" s="7" t="n">
        <v>3</v>
      </c>
      <c r="H6" s="8" t="n">
        <f aca="false">IF(OR(F6="",G6=""),"",(F6-G6)/F6)</f>
        <v>0.25</v>
      </c>
      <c r="I6" s="7" t="n">
        <v>126</v>
      </c>
      <c r="J6" s="7" t="n">
        <v>0</v>
      </c>
      <c r="K6" s="7" t="n">
        <v>0</v>
      </c>
      <c r="L6" s="7" t="n">
        <v>0</v>
      </c>
      <c r="M6" s="5" t="s">
        <v>20</v>
      </c>
      <c r="N6" s="9" t="s">
        <v>25</v>
      </c>
    </row>
    <row r="7" customFormat="false" ht="15" hidden="false" customHeight="true" outlineLevel="0" collapsed="false">
      <c r="A7" s="5" t="n">
        <v>3</v>
      </c>
      <c r="B7" s="6" t="s">
        <v>26</v>
      </c>
      <c r="C7" s="5" t="s">
        <v>23</v>
      </c>
      <c r="D7" s="5" t="s">
        <v>18</v>
      </c>
      <c r="E7" s="6" t="s">
        <v>27</v>
      </c>
      <c r="F7" s="7" t="n">
        <v>4</v>
      </c>
      <c r="G7" s="7" t="n">
        <v>3</v>
      </c>
      <c r="H7" s="8" t="n">
        <f aca="false">IF(OR(F7="",G7=""),"",(F7-G7)/F7)</f>
        <v>0.25</v>
      </c>
      <c r="I7" s="7" t="n">
        <v>126</v>
      </c>
      <c r="J7" s="7" t="n">
        <v>0</v>
      </c>
      <c r="K7" s="7" t="n">
        <v>10</v>
      </c>
      <c r="L7" s="7" t="n">
        <v>3</v>
      </c>
      <c r="M7" s="5" t="s">
        <v>20</v>
      </c>
      <c r="N7" s="9" t="s">
        <v>28</v>
      </c>
    </row>
    <row r="8" customFormat="false" ht="15" hidden="false" customHeight="true" outlineLevel="0" collapsed="false">
      <c r="A8" s="5" t="n">
        <v>4</v>
      </c>
      <c r="B8" s="6" t="s">
        <v>29</v>
      </c>
      <c r="C8" s="5" t="s">
        <v>30</v>
      </c>
      <c r="D8" s="5" t="s">
        <v>18</v>
      </c>
      <c r="E8" s="6" t="s">
        <v>31</v>
      </c>
      <c r="F8" s="7" t="n">
        <v>4</v>
      </c>
      <c r="G8" s="7" t="n">
        <v>3</v>
      </c>
      <c r="H8" s="8" t="n">
        <f aca="false">IF(OR(F8="",G8=""),"",(F8-G8)/F8)</f>
        <v>0.25</v>
      </c>
      <c r="I8" s="7" t="n">
        <v>126</v>
      </c>
      <c r="J8" s="7" t="n">
        <v>1</v>
      </c>
      <c r="K8" s="7" t="n">
        <v>12</v>
      </c>
      <c r="L8" s="7" t="n">
        <v>5</v>
      </c>
      <c r="M8" s="5" t="s">
        <v>20</v>
      </c>
      <c r="N8" s="9" t="s">
        <v>32</v>
      </c>
    </row>
    <row r="9" customFormat="false" ht="15" hidden="false" customHeight="true" outlineLevel="0" collapsed="false">
      <c r="A9" s="5" t="n">
        <v>5</v>
      </c>
      <c r="B9" s="6" t="s">
        <v>33</v>
      </c>
      <c r="C9" s="5" t="s">
        <v>30</v>
      </c>
      <c r="D9" s="5" t="s">
        <v>18</v>
      </c>
      <c r="E9" s="6" t="s">
        <v>34</v>
      </c>
      <c r="F9" s="7" t="n">
        <v>4</v>
      </c>
      <c r="G9" s="7" t="n">
        <v>3</v>
      </c>
      <c r="H9" s="8" t="n">
        <f aca="false">IF(OR(F9="",G9=""),"",(F9-G9)/F9)</f>
        <v>0.25</v>
      </c>
      <c r="I9" s="7" t="n">
        <v>126</v>
      </c>
      <c r="J9" s="7" t="n">
        <v>1</v>
      </c>
      <c r="K9" s="7" t="n">
        <v>11</v>
      </c>
      <c r="L9" s="7" t="n">
        <v>4</v>
      </c>
      <c r="M9" s="5" t="s">
        <v>20</v>
      </c>
      <c r="N9" s="9" t="s">
        <v>32</v>
      </c>
    </row>
    <row r="10" customFormat="false" ht="15" hidden="false" customHeight="true" outlineLevel="0" collapsed="false">
      <c r="A10" s="5" t="n">
        <v>6</v>
      </c>
      <c r="B10" s="6" t="s">
        <v>35</v>
      </c>
      <c r="C10" s="5" t="s">
        <v>30</v>
      </c>
      <c r="D10" s="5" t="s">
        <v>18</v>
      </c>
      <c r="E10" s="6" t="s">
        <v>36</v>
      </c>
      <c r="F10" s="7" t="n">
        <v>4</v>
      </c>
      <c r="G10" s="7" t="n">
        <v>3</v>
      </c>
      <c r="H10" s="8" t="n">
        <f aca="false">IF(OR(F10="",G10=""),"",(F10-G10)/F10)</f>
        <v>0.25</v>
      </c>
      <c r="I10" s="7" t="n">
        <v>126</v>
      </c>
      <c r="J10" s="7" t="n">
        <v>1</v>
      </c>
      <c r="K10" s="7" t="n">
        <v>1</v>
      </c>
      <c r="L10" s="7" t="n">
        <v>1</v>
      </c>
      <c r="M10" s="5" t="s">
        <v>20</v>
      </c>
      <c r="N10" s="9" t="s">
        <v>32</v>
      </c>
    </row>
    <row r="11" customFormat="false" ht="15" hidden="false" customHeight="true" outlineLevel="0" collapsed="false">
      <c r="A11" s="5" t="n">
        <v>7</v>
      </c>
      <c r="B11" s="6" t="s">
        <v>37</v>
      </c>
      <c r="C11" s="5" t="s">
        <v>17</v>
      </c>
      <c r="D11" s="5" t="s">
        <v>38</v>
      </c>
      <c r="E11" s="6" t="s">
        <v>39</v>
      </c>
      <c r="F11" s="7" t="n">
        <v>4</v>
      </c>
      <c r="G11" s="7" t="n">
        <v>4</v>
      </c>
      <c r="H11" s="8" t="n">
        <f aca="false">IF(OR(F11="",G11=""),"",(F11-G11)/F11)</f>
        <v>0</v>
      </c>
      <c r="I11" s="7" t="n">
        <v>128</v>
      </c>
      <c r="J11" s="7" t="n">
        <v>0</v>
      </c>
      <c r="K11" s="7" t="n">
        <v>0</v>
      </c>
      <c r="L11" s="7" t="n">
        <v>0</v>
      </c>
      <c r="M11" s="5" t="s">
        <v>20</v>
      </c>
      <c r="N11" s="9" t="s">
        <v>40</v>
      </c>
    </row>
    <row r="12" customFormat="false" ht="15" hidden="false" customHeight="true" outlineLevel="0" collapsed="false">
      <c r="A12" s="5" t="n">
        <v>8</v>
      </c>
      <c r="B12" s="6" t="s">
        <v>41</v>
      </c>
      <c r="C12" s="5" t="s">
        <v>23</v>
      </c>
      <c r="D12" s="5" t="s">
        <v>38</v>
      </c>
      <c r="E12" s="6" t="s">
        <v>42</v>
      </c>
      <c r="F12" s="7" t="n">
        <v>4</v>
      </c>
      <c r="G12" s="7" t="n">
        <v>4</v>
      </c>
      <c r="H12" s="8" t="n">
        <f aca="false">IF(OR(F12="",G12=""),"",(F12-G12)/F12)</f>
        <v>0</v>
      </c>
      <c r="I12" s="7" t="n">
        <v>126</v>
      </c>
      <c r="J12" s="7" t="n">
        <v>0</v>
      </c>
      <c r="K12" s="7" t="n">
        <v>12</v>
      </c>
      <c r="L12" s="7" t="n">
        <v>3</v>
      </c>
      <c r="M12" s="5" t="s">
        <v>20</v>
      </c>
      <c r="N12" s="9" t="s">
        <v>43</v>
      </c>
    </row>
    <row r="13" customFormat="false" ht="15" hidden="false" customHeight="true" outlineLevel="0" collapsed="false">
      <c r="A13" s="5" t="n">
        <v>9</v>
      </c>
      <c r="B13" s="6" t="s">
        <v>44</v>
      </c>
      <c r="C13" s="5" t="s">
        <v>17</v>
      </c>
      <c r="D13" s="5" t="s">
        <v>45</v>
      </c>
      <c r="E13" s="6" t="s">
        <v>46</v>
      </c>
      <c r="F13" s="7" t="n">
        <v>4</v>
      </c>
      <c r="G13" s="7" t="n">
        <v>4</v>
      </c>
      <c r="H13" s="8" t="n">
        <f aca="false">IF(OR(F13="",G13=""),"",(F13-G13)/F13)</f>
        <v>0</v>
      </c>
      <c r="I13" s="7" t="n">
        <v>128</v>
      </c>
      <c r="J13" s="7" t="n">
        <v>0</v>
      </c>
      <c r="K13" s="7" t="n">
        <v>0</v>
      </c>
      <c r="L13" s="7" t="n">
        <v>0</v>
      </c>
      <c r="M13" s="5" t="s">
        <v>20</v>
      </c>
      <c r="N13" s="9" t="s">
        <v>47</v>
      </c>
    </row>
    <row r="14" customFormat="false" ht="15" hidden="false" customHeight="true" outlineLevel="0" collapsed="false">
      <c r="A14" s="5" t="n">
        <v>10</v>
      </c>
      <c r="B14" s="6" t="s">
        <v>48</v>
      </c>
      <c r="C14" s="5" t="s">
        <v>23</v>
      </c>
      <c r="D14" s="5" t="s">
        <v>49</v>
      </c>
      <c r="E14" s="6" t="s">
        <v>50</v>
      </c>
      <c r="F14" s="7" t="n">
        <v>4</v>
      </c>
      <c r="G14" s="7" t="n">
        <v>3</v>
      </c>
      <c r="H14" s="8" t="n">
        <f aca="false">IF(OR(F14="",G14=""),"",(F14-G14)/F14)</f>
        <v>0.25</v>
      </c>
      <c r="I14" s="7" t="n">
        <v>126</v>
      </c>
      <c r="J14" s="7" t="n">
        <v>0</v>
      </c>
      <c r="K14" s="7" t="n">
        <v>1</v>
      </c>
      <c r="L14" s="7" t="n">
        <v>0</v>
      </c>
      <c r="M14" s="5" t="s">
        <v>20</v>
      </c>
      <c r="N14" s="9" t="s">
        <v>25</v>
      </c>
    </row>
    <row r="15" customFormat="false" ht="15" hidden="false" customHeight="true" outlineLevel="0" collapsed="false">
      <c r="A15" s="5" t="n">
        <v>11</v>
      </c>
      <c r="B15" s="6" t="s">
        <v>51</v>
      </c>
      <c r="C15" s="5" t="s">
        <v>23</v>
      </c>
      <c r="D15" s="5" t="s">
        <v>52</v>
      </c>
      <c r="E15" s="6" t="s">
        <v>53</v>
      </c>
      <c r="F15" s="7" t="n">
        <v>4</v>
      </c>
      <c r="G15" s="7" t="n">
        <v>3</v>
      </c>
      <c r="H15" s="8" t="n">
        <f aca="false">IF(OR(F15="",G15=""),"",(F15-G15)/F15)</f>
        <v>0.25</v>
      </c>
      <c r="I15" s="7" t="n">
        <v>126</v>
      </c>
      <c r="J15" s="7" t="n">
        <v>0</v>
      </c>
      <c r="K15" s="7" t="n">
        <v>0</v>
      </c>
      <c r="L15" s="7" t="n">
        <v>0</v>
      </c>
      <c r="M15" s="5" t="s">
        <v>20</v>
      </c>
      <c r="N15" s="9" t="s">
        <v>25</v>
      </c>
    </row>
    <row r="16" customFormat="false" ht="15" hidden="false" customHeight="true" outlineLevel="0" collapsed="false">
      <c r="A16" s="5" t="n">
        <v>12</v>
      </c>
      <c r="B16" s="6" t="s">
        <v>54</v>
      </c>
      <c r="C16" s="5" t="s">
        <v>23</v>
      </c>
      <c r="D16" s="5" t="s">
        <v>55</v>
      </c>
      <c r="E16" s="6" t="s">
        <v>56</v>
      </c>
      <c r="F16" s="7" t="n">
        <v>4</v>
      </c>
      <c r="G16" s="7" t="n">
        <v>3</v>
      </c>
      <c r="H16" s="8" t="n">
        <f aca="false">IF(OR(F16="",G16=""),"",(F16-G16)/F16)</f>
        <v>0.25</v>
      </c>
      <c r="I16" s="7" t="n">
        <v>126</v>
      </c>
      <c r="J16" s="7" t="n">
        <v>0</v>
      </c>
      <c r="K16" s="7" t="n">
        <v>1</v>
      </c>
      <c r="L16" s="7" t="n">
        <v>0</v>
      </c>
      <c r="M16" s="5" t="s">
        <v>20</v>
      </c>
      <c r="N16" s="9" t="s">
        <v>25</v>
      </c>
    </row>
    <row r="18" customFormat="false" ht="15" hidden="false" customHeight="true" outlineLevel="0" collapsed="false">
      <c r="B18" s="10" t="s">
        <v>57</v>
      </c>
    </row>
    <row r="19" customFormat="false" ht="15" hidden="false" customHeight="true" outlineLevel="0" collapsed="false">
      <c r="B19" s="11" t="s">
        <v>58</v>
      </c>
      <c r="C19" s="12" t="n">
        <f aca="false">COUNTIF(M5:M16,"Testado")</f>
        <v>12</v>
      </c>
    </row>
    <row r="20" customFormat="false" ht="15" hidden="false" customHeight="true" outlineLevel="0" collapsed="false">
      <c r="B20" s="11" t="s">
        <v>59</v>
      </c>
      <c r="C20" s="12" t="n">
        <f aca="false">COUNTIF(M5:M16,"Pendente")</f>
        <v>0</v>
      </c>
    </row>
    <row r="21" customFormat="false" ht="15" hidden="false" customHeight="true" outlineLevel="0" collapsed="false">
      <c r="B21" s="11" t="s">
        <v>60</v>
      </c>
      <c r="C21" s="12" t="n">
        <f aca="false">COUNTIF(M5:M16,"Falhou")</f>
        <v>0</v>
      </c>
    </row>
    <row r="22" customFormat="false" ht="15" hidden="false" customHeight="true" outlineLevel="0" collapsed="false">
      <c r="B22" s="11" t="s">
        <v>61</v>
      </c>
      <c r="C22" s="13" t="n">
        <f aca="false">IFERROR(AVERAGE(H5:H16),"")</f>
        <v>0.166666666666667</v>
      </c>
    </row>
    <row r="25" customFormat="false" ht="15" hidden="false" customHeight="true" outlineLevel="0" collapsed="false">
      <c r="B25" s="14" t="s">
        <v>62</v>
      </c>
    </row>
    <row r="26" customFormat="false" ht="15" hidden="false" customHeight="true" outlineLevel="0" collapsed="false">
      <c r="B26" s="15" t="s">
        <v>63</v>
      </c>
    </row>
    <row r="27" customFormat="false" ht="15" hidden="false" customHeight="true" outlineLevel="0" collapsed="false">
      <c r="B27" s="15" t="s">
        <v>64</v>
      </c>
    </row>
    <row r="28" customFormat="false" ht="15" hidden="false" customHeight="true" outlineLevel="0" collapsed="false">
      <c r="B28" s="15" t="s">
        <v>65</v>
      </c>
    </row>
    <row r="29" customFormat="false" ht="15" hidden="false" customHeight="true" outlineLevel="0" collapsed="false">
      <c r="B29" s="15" t="s">
        <v>66</v>
      </c>
    </row>
    <row r="30" customFormat="false" ht="15" hidden="false" customHeight="true" outlineLevel="0" collapsed="false">
      <c r="B30" s="15" t="s">
        <v>67</v>
      </c>
    </row>
    <row r="31" customFormat="false" ht="15" hidden="false" customHeight="true" outlineLevel="0" collapsed="false">
      <c r="B31" s="15" t="s">
        <v>68</v>
      </c>
    </row>
  </sheetData>
  <dataValidations count="1">
    <dataValidation allowBlank="false" errorStyle="stop" operator="between" showDropDown="false" showErrorMessage="false" showInputMessage="false" sqref="M5:M16" type="list">
      <formula1>"Testado,Pendente,Falhou"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2026-10-17T02:32:38Z</dcterms:created>
  <dc:creator>openpyxl</dc:creator>
  <dc:description/>
  <dc:language>en-US</dc:language>
  <cp:lastModifiedBy/>
  <dcterms:modified xsi:type="dcterms:W3CDTF">2026-10-17T16:09:07Z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