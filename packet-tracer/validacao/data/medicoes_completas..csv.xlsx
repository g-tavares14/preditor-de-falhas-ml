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tephanie Bessa\Downloads\preditor de falhas 3\preditor-falhas-packet-tracer\data\"/>
    </mc:Choice>
  </mc:AlternateContent>
  <xr:revisionPtr revIDLastSave="0" documentId="8_{3810ECFF-1C69-4A2B-8501-349B4F8E1928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Legenda" sheetId="1" r:id="rId1"/>
    <sheet name="Coleta" sheetId="2" r:id="rId2"/>
    <sheet name="Baseline" sheetId="3" r:id="rId3"/>
    <sheet name="medicoes_pt.csv.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0" i="2" l="1"/>
  <c r="J100" i="2"/>
  <c r="O241" i="2"/>
  <c r="N241" i="2"/>
  <c r="J241" i="2"/>
  <c r="O240" i="2"/>
  <c r="N240" i="2"/>
  <c r="J240" i="2"/>
  <c r="O239" i="2"/>
  <c r="N239" i="2"/>
  <c r="J239" i="2"/>
  <c r="O238" i="2"/>
  <c r="N238" i="2"/>
  <c r="J238" i="2"/>
  <c r="O237" i="2"/>
  <c r="N237" i="2"/>
  <c r="J237" i="2"/>
  <c r="O236" i="2"/>
  <c r="N236" i="2"/>
  <c r="J236" i="2"/>
  <c r="O235" i="2"/>
  <c r="N235" i="2"/>
  <c r="J235" i="2"/>
  <c r="O234" i="2"/>
  <c r="N234" i="2"/>
  <c r="J234" i="2"/>
  <c r="O233" i="2"/>
  <c r="N233" i="2"/>
  <c r="J233" i="2"/>
  <c r="O232" i="2"/>
  <c r="N232" i="2"/>
  <c r="J232" i="2"/>
  <c r="O231" i="2"/>
  <c r="N231" i="2"/>
  <c r="J231" i="2"/>
  <c r="O230" i="2"/>
  <c r="N230" i="2"/>
  <c r="J230" i="2"/>
  <c r="O229" i="2"/>
  <c r="N229" i="2"/>
  <c r="J229" i="2"/>
  <c r="O228" i="2"/>
  <c r="N228" i="2"/>
  <c r="J228" i="2"/>
  <c r="O227" i="2"/>
  <c r="N227" i="2"/>
  <c r="J227" i="2"/>
  <c r="O226" i="2"/>
  <c r="N226" i="2"/>
  <c r="J226" i="2"/>
  <c r="O225" i="2"/>
  <c r="N225" i="2"/>
  <c r="J225" i="2"/>
  <c r="O224" i="2"/>
  <c r="N224" i="2"/>
  <c r="J224" i="2"/>
  <c r="O223" i="2"/>
  <c r="N223" i="2"/>
  <c r="J223" i="2"/>
  <c r="O222" i="2"/>
  <c r="N222" i="2"/>
  <c r="J222" i="2"/>
  <c r="K222" i="2" s="1"/>
  <c r="O221" i="2"/>
  <c r="N221" i="2"/>
  <c r="J221" i="2"/>
  <c r="O220" i="2"/>
  <c r="N220" i="2"/>
  <c r="J220" i="2"/>
  <c r="O219" i="2"/>
  <c r="N219" i="2"/>
  <c r="J219" i="2"/>
  <c r="O218" i="2"/>
  <c r="N218" i="2"/>
  <c r="J218" i="2"/>
  <c r="O217" i="2"/>
  <c r="N217" i="2"/>
  <c r="J217" i="2"/>
  <c r="O216" i="2"/>
  <c r="N216" i="2"/>
  <c r="J216" i="2"/>
  <c r="O215" i="2"/>
  <c r="N215" i="2"/>
  <c r="J215" i="2"/>
  <c r="O214" i="2"/>
  <c r="N214" i="2"/>
  <c r="J214" i="2"/>
  <c r="O213" i="2"/>
  <c r="N213" i="2"/>
  <c r="J213" i="2"/>
  <c r="O212" i="2"/>
  <c r="N212" i="2"/>
  <c r="J212" i="2"/>
  <c r="O211" i="2"/>
  <c r="N211" i="2"/>
  <c r="J211" i="2"/>
  <c r="O210" i="2"/>
  <c r="N210" i="2"/>
  <c r="J210" i="2"/>
  <c r="O209" i="2"/>
  <c r="N209" i="2"/>
  <c r="J209" i="2"/>
  <c r="O208" i="2"/>
  <c r="N208" i="2"/>
  <c r="J208" i="2"/>
  <c r="O207" i="2"/>
  <c r="N207" i="2"/>
  <c r="J207" i="2"/>
  <c r="O206" i="2"/>
  <c r="N206" i="2"/>
  <c r="J206" i="2"/>
  <c r="O205" i="2"/>
  <c r="N205" i="2"/>
  <c r="J205" i="2"/>
  <c r="O204" i="2"/>
  <c r="N204" i="2"/>
  <c r="J204" i="2"/>
  <c r="O203" i="2"/>
  <c r="N203" i="2"/>
  <c r="J203" i="2"/>
  <c r="O202" i="2"/>
  <c r="N202" i="2"/>
  <c r="J202" i="2"/>
  <c r="O201" i="2"/>
  <c r="N201" i="2"/>
  <c r="J201" i="2"/>
  <c r="O200" i="2"/>
  <c r="N200" i="2"/>
  <c r="O199" i="2"/>
  <c r="N199" i="2"/>
  <c r="J199" i="2"/>
  <c r="O198" i="2"/>
  <c r="N198" i="2"/>
  <c r="J198" i="2"/>
  <c r="O197" i="2"/>
  <c r="N197" i="2"/>
  <c r="J197" i="2"/>
  <c r="O196" i="2"/>
  <c r="N196" i="2"/>
  <c r="J196" i="2"/>
  <c r="O195" i="2"/>
  <c r="N195" i="2"/>
  <c r="J195" i="2"/>
  <c r="O194" i="2"/>
  <c r="N194" i="2"/>
  <c r="J194" i="2"/>
  <c r="O193" i="2"/>
  <c r="N193" i="2"/>
  <c r="J193" i="2"/>
  <c r="O192" i="2"/>
  <c r="N192" i="2"/>
  <c r="J192" i="2"/>
  <c r="O191" i="2"/>
  <c r="N191" i="2"/>
  <c r="J191" i="2"/>
  <c r="O190" i="2"/>
  <c r="N190" i="2"/>
  <c r="J190" i="2"/>
  <c r="O189" i="2"/>
  <c r="N189" i="2"/>
  <c r="J189" i="2"/>
  <c r="O188" i="2"/>
  <c r="N188" i="2"/>
  <c r="J188" i="2"/>
  <c r="O187" i="2"/>
  <c r="N187" i="2"/>
  <c r="J187" i="2"/>
  <c r="O186" i="2"/>
  <c r="N186" i="2"/>
  <c r="J186" i="2"/>
  <c r="O185" i="2"/>
  <c r="N185" i="2"/>
  <c r="J185" i="2"/>
  <c r="O184" i="2"/>
  <c r="N184" i="2"/>
  <c r="J184" i="2"/>
  <c r="O183" i="2"/>
  <c r="N183" i="2"/>
  <c r="J183" i="2"/>
  <c r="O182" i="2"/>
  <c r="N182" i="2"/>
  <c r="J182" i="2"/>
  <c r="O181" i="2"/>
  <c r="N181" i="2"/>
  <c r="J181" i="2"/>
  <c r="O180" i="2"/>
  <c r="N180" i="2"/>
  <c r="J180" i="2"/>
  <c r="O179" i="2"/>
  <c r="N179" i="2"/>
  <c r="J179" i="2"/>
  <c r="O178" i="2"/>
  <c r="N178" i="2"/>
  <c r="J178" i="2"/>
  <c r="O177" i="2"/>
  <c r="N177" i="2"/>
  <c r="J177" i="2"/>
  <c r="O176" i="2"/>
  <c r="N176" i="2"/>
  <c r="J176" i="2"/>
  <c r="O175" i="2"/>
  <c r="N175" i="2"/>
  <c r="J175" i="2"/>
  <c r="O174" i="2"/>
  <c r="N174" i="2"/>
  <c r="J174" i="2"/>
  <c r="O173" i="2"/>
  <c r="N173" i="2"/>
  <c r="J173" i="2"/>
  <c r="O172" i="2"/>
  <c r="N172" i="2"/>
  <c r="J172" i="2"/>
  <c r="O171" i="2"/>
  <c r="N171" i="2"/>
  <c r="J171" i="2"/>
  <c r="O170" i="2"/>
  <c r="N170" i="2"/>
  <c r="J170" i="2"/>
  <c r="O169" i="2"/>
  <c r="N169" i="2"/>
  <c r="J169" i="2"/>
  <c r="O168" i="2"/>
  <c r="N168" i="2"/>
  <c r="J168" i="2"/>
  <c r="O167" i="2"/>
  <c r="N167" i="2"/>
  <c r="J167" i="2"/>
  <c r="O166" i="2"/>
  <c r="N166" i="2"/>
  <c r="J166" i="2"/>
  <c r="O165" i="2"/>
  <c r="N165" i="2"/>
  <c r="J165" i="2"/>
  <c r="O164" i="2"/>
  <c r="N164" i="2"/>
  <c r="J164" i="2"/>
  <c r="O163" i="2"/>
  <c r="N163" i="2"/>
  <c r="J163" i="2"/>
  <c r="O162" i="2"/>
  <c r="N162" i="2"/>
  <c r="J162" i="2"/>
  <c r="O161" i="2"/>
  <c r="N161" i="2"/>
  <c r="J161" i="2"/>
  <c r="O160" i="2"/>
  <c r="N160" i="2"/>
  <c r="J160" i="2"/>
  <c r="O159" i="2"/>
  <c r="N159" i="2"/>
  <c r="J159" i="2"/>
  <c r="O158" i="2"/>
  <c r="N158" i="2"/>
  <c r="J158" i="2"/>
  <c r="O157" i="2"/>
  <c r="N157" i="2"/>
  <c r="J157" i="2"/>
  <c r="O156" i="2"/>
  <c r="N156" i="2"/>
  <c r="J156" i="2"/>
  <c r="O155" i="2"/>
  <c r="N155" i="2"/>
  <c r="J155" i="2"/>
  <c r="O154" i="2"/>
  <c r="N154" i="2"/>
  <c r="J154" i="2"/>
  <c r="O153" i="2"/>
  <c r="N153" i="2"/>
  <c r="J153" i="2"/>
  <c r="O152" i="2"/>
  <c r="N152" i="2"/>
  <c r="J152" i="2"/>
  <c r="O151" i="2"/>
  <c r="N151" i="2"/>
  <c r="J151" i="2"/>
  <c r="O150" i="2"/>
  <c r="N150" i="2"/>
  <c r="J150" i="2"/>
  <c r="O149" i="2"/>
  <c r="N149" i="2"/>
  <c r="J149" i="2"/>
  <c r="O148" i="2"/>
  <c r="N148" i="2"/>
  <c r="J148" i="2"/>
  <c r="O147" i="2"/>
  <c r="N147" i="2"/>
  <c r="J147" i="2"/>
  <c r="O146" i="2"/>
  <c r="N146" i="2"/>
  <c r="J146" i="2"/>
  <c r="O145" i="2"/>
  <c r="N145" i="2"/>
  <c r="J145" i="2"/>
  <c r="O144" i="2"/>
  <c r="N144" i="2"/>
  <c r="J144" i="2"/>
  <c r="O143" i="2"/>
  <c r="N143" i="2"/>
  <c r="J143" i="2"/>
  <c r="O142" i="2"/>
  <c r="N142" i="2"/>
  <c r="J142" i="2"/>
  <c r="O141" i="2"/>
  <c r="N141" i="2"/>
  <c r="J141" i="2"/>
  <c r="O140" i="2"/>
  <c r="N140" i="2"/>
  <c r="J140" i="2"/>
  <c r="O139" i="2"/>
  <c r="N139" i="2"/>
  <c r="J139" i="2"/>
  <c r="O138" i="2"/>
  <c r="N138" i="2"/>
  <c r="J138" i="2"/>
  <c r="O137" i="2"/>
  <c r="N137" i="2"/>
  <c r="J137" i="2"/>
  <c r="O136" i="2"/>
  <c r="N136" i="2"/>
  <c r="J136" i="2"/>
  <c r="O135" i="2"/>
  <c r="N135" i="2"/>
  <c r="J135" i="2"/>
  <c r="O134" i="2"/>
  <c r="N134" i="2"/>
  <c r="J134" i="2"/>
  <c r="O133" i="2"/>
  <c r="N133" i="2"/>
  <c r="J133" i="2"/>
  <c r="O132" i="2"/>
  <c r="N132" i="2"/>
  <c r="J132" i="2"/>
  <c r="O131" i="2"/>
  <c r="N131" i="2"/>
  <c r="J131" i="2"/>
  <c r="O130" i="2"/>
  <c r="N130" i="2"/>
  <c r="J130" i="2"/>
  <c r="O129" i="2"/>
  <c r="N129" i="2"/>
  <c r="J129" i="2"/>
  <c r="O128" i="2"/>
  <c r="N128" i="2"/>
  <c r="J128" i="2"/>
  <c r="O127" i="2"/>
  <c r="N127" i="2"/>
  <c r="J127" i="2"/>
  <c r="O126" i="2"/>
  <c r="N126" i="2"/>
  <c r="J126" i="2"/>
  <c r="O125" i="2"/>
  <c r="N125" i="2"/>
  <c r="J125" i="2"/>
  <c r="O124" i="2"/>
  <c r="N124" i="2"/>
  <c r="J124" i="2"/>
  <c r="O123" i="2"/>
  <c r="N123" i="2"/>
  <c r="J123" i="2"/>
  <c r="O122" i="2"/>
  <c r="N122" i="2"/>
  <c r="J122" i="2"/>
  <c r="O121" i="2"/>
  <c r="N121" i="2"/>
  <c r="J121" i="2"/>
  <c r="O120" i="2"/>
  <c r="N120" i="2"/>
  <c r="J120" i="2"/>
  <c r="O119" i="2"/>
  <c r="N119" i="2"/>
  <c r="J119" i="2"/>
  <c r="O118" i="2"/>
  <c r="N118" i="2"/>
  <c r="J118" i="2"/>
  <c r="O117" i="2"/>
  <c r="N117" i="2"/>
  <c r="J117" i="2"/>
  <c r="O116" i="2"/>
  <c r="N116" i="2"/>
  <c r="J116" i="2"/>
  <c r="O115" i="2"/>
  <c r="N115" i="2"/>
  <c r="J115" i="2"/>
  <c r="O114" i="2"/>
  <c r="N114" i="2"/>
  <c r="J114" i="2"/>
  <c r="O113" i="2"/>
  <c r="N113" i="2"/>
  <c r="J113" i="2"/>
  <c r="O112" i="2"/>
  <c r="N112" i="2"/>
  <c r="J112" i="2"/>
  <c r="O111" i="2"/>
  <c r="N111" i="2"/>
  <c r="J111" i="2"/>
  <c r="O110" i="2"/>
  <c r="N110" i="2"/>
  <c r="J110" i="2"/>
  <c r="O109" i="2"/>
  <c r="N109" i="2"/>
  <c r="J109" i="2"/>
  <c r="O108" i="2"/>
  <c r="N108" i="2"/>
  <c r="J108" i="2"/>
  <c r="O107" i="2"/>
  <c r="N107" i="2"/>
  <c r="J107" i="2"/>
  <c r="O106" i="2"/>
  <c r="N106" i="2"/>
  <c r="J106" i="2"/>
  <c r="O105" i="2"/>
  <c r="N105" i="2"/>
  <c r="J105" i="2"/>
  <c r="O104" i="2"/>
  <c r="N104" i="2"/>
  <c r="J104" i="2"/>
  <c r="O103" i="2"/>
  <c r="N103" i="2"/>
  <c r="J103" i="2"/>
  <c r="O102" i="2"/>
  <c r="N102" i="2"/>
  <c r="J102" i="2"/>
  <c r="O101" i="2"/>
  <c r="N101" i="2"/>
  <c r="J101" i="2"/>
  <c r="O100" i="2"/>
  <c r="N100" i="2"/>
  <c r="O99" i="2"/>
  <c r="N99" i="2"/>
  <c r="J99" i="2"/>
  <c r="O98" i="2"/>
  <c r="N98" i="2"/>
  <c r="J98" i="2"/>
  <c r="O97" i="2"/>
  <c r="N97" i="2"/>
  <c r="J97" i="2"/>
  <c r="O96" i="2"/>
  <c r="N96" i="2"/>
  <c r="J96" i="2"/>
  <c r="O95" i="2"/>
  <c r="N95" i="2"/>
  <c r="J95" i="2"/>
  <c r="O94" i="2"/>
  <c r="N94" i="2"/>
  <c r="J94" i="2"/>
  <c r="O93" i="2"/>
  <c r="N93" i="2"/>
  <c r="J93" i="2"/>
  <c r="O92" i="2"/>
  <c r="N92" i="2"/>
  <c r="J92" i="2"/>
  <c r="O91" i="2"/>
  <c r="N91" i="2"/>
  <c r="J91" i="2"/>
  <c r="O90" i="2"/>
  <c r="N90" i="2"/>
  <c r="J90" i="2"/>
  <c r="O89" i="2"/>
  <c r="N89" i="2"/>
  <c r="J89" i="2"/>
  <c r="O88" i="2"/>
  <c r="N88" i="2"/>
  <c r="J88" i="2"/>
  <c r="O87" i="2"/>
  <c r="N87" i="2"/>
  <c r="J87" i="2"/>
  <c r="O86" i="2"/>
  <c r="N86" i="2"/>
  <c r="J86" i="2"/>
  <c r="O85" i="2"/>
  <c r="N85" i="2"/>
  <c r="J85" i="2"/>
  <c r="O84" i="2"/>
  <c r="N84" i="2"/>
  <c r="J84" i="2"/>
  <c r="O83" i="2"/>
  <c r="N83" i="2"/>
  <c r="J83" i="2"/>
  <c r="O82" i="2"/>
  <c r="N82" i="2"/>
  <c r="J82" i="2"/>
  <c r="O81" i="2"/>
  <c r="N81" i="2"/>
  <c r="J81" i="2"/>
  <c r="O80" i="2"/>
  <c r="N80" i="2"/>
  <c r="J80" i="2"/>
  <c r="O79" i="2"/>
  <c r="N79" i="2"/>
  <c r="J79" i="2"/>
  <c r="O78" i="2"/>
  <c r="N78" i="2"/>
  <c r="J78" i="2"/>
  <c r="O77" i="2"/>
  <c r="N77" i="2"/>
  <c r="J77" i="2"/>
  <c r="O76" i="2"/>
  <c r="N76" i="2"/>
  <c r="J76" i="2"/>
  <c r="O75" i="2"/>
  <c r="N75" i="2"/>
  <c r="J75" i="2"/>
  <c r="O74" i="2"/>
  <c r="N74" i="2"/>
  <c r="J74" i="2"/>
  <c r="O73" i="2"/>
  <c r="N73" i="2"/>
  <c r="J73" i="2"/>
  <c r="O72" i="2"/>
  <c r="N72" i="2"/>
  <c r="J72" i="2"/>
  <c r="O71" i="2"/>
  <c r="N71" i="2"/>
  <c r="J71" i="2"/>
  <c r="O70" i="2"/>
  <c r="N70" i="2"/>
  <c r="J70" i="2"/>
  <c r="O69" i="2"/>
  <c r="N69" i="2"/>
  <c r="J69" i="2"/>
  <c r="O68" i="2"/>
  <c r="N68" i="2"/>
  <c r="J68" i="2"/>
  <c r="O67" i="2"/>
  <c r="N67" i="2"/>
  <c r="J67" i="2"/>
  <c r="O66" i="2"/>
  <c r="N66" i="2"/>
  <c r="J66" i="2"/>
  <c r="O65" i="2"/>
  <c r="N65" i="2"/>
  <c r="J65" i="2"/>
  <c r="O64" i="2"/>
  <c r="N64" i="2"/>
  <c r="J64" i="2"/>
  <c r="O63" i="2"/>
  <c r="N63" i="2"/>
  <c r="J63" i="2"/>
  <c r="O62" i="2"/>
  <c r="N62" i="2"/>
  <c r="J62" i="2"/>
  <c r="O61" i="2"/>
  <c r="N61" i="2"/>
  <c r="J61" i="2"/>
  <c r="O60" i="2"/>
  <c r="N60" i="2"/>
  <c r="J60" i="2"/>
  <c r="O59" i="2"/>
  <c r="N59" i="2"/>
  <c r="J59" i="2"/>
  <c r="O58" i="2"/>
  <c r="N58" i="2"/>
  <c r="J58" i="2"/>
  <c r="O57" i="2"/>
  <c r="N57" i="2"/>
  <c r="J57" i="2"/>
  <c r="O56" i="2"/>
  <c r="N56" i="2"/>
  <c r="J56" i="2"/>
  <c r="O55" i="2"/>
  <c r="N55" i="2"/>
  <c r="J55" i="2"/>
  <c r="O54" i="2"/>
  <c r="N54" i="2"/>
  <c r="J54" i="2"/>
  <c r="O53" i="2"/>
  <c r="N53" i="2"/>
  <c r="J53" i="2"/>
  <c r="O52" i="2"/>
  <c r="N52" i="2"/>
  <c r="J52" i="2"/>
  <c r="O51" i="2"/>
  <c r="N51" i="2"/>
  <c r="J51" i="2"/>
  <c r="O50" i="2"/>
  <c r="N50" i="2"/>
  <c r="J50" i="2"/>
  <c r="O49" i="2"/>
  <c r="N49" i="2"/>
  <c r="J49" i="2"/>
  <c r="O48" i="2"/>
  <c r="N48" i="2"/>
  <c r="J48" i="2"/>
  <c r="O47" i="2"/>
  <c r="N47" i="2"/>
  <c r="J47" i="2"/>
  <c r="O46" i="2"/>
  <c r="N46" i="2"/>
  <c r="J46" i="2"/>
  <c r="O45" i="2"/>
  <c r="N45" i="2"/>
  <c r="J45" i="2"/>
  <c r="O44" i="2"/>
  <c r="N44" i="2"/>
  <c r="J44" i="2"/>
  <c r="O43" i="2"/>
  <c r="N43" i="2"/>
  <c r="J43" i="2"/>
  <c r="O42" i="2"/>
  <c r="N42" i="2"/>
  <c r="J42" i="2"/>
  <c r="O41" i="2"/>
  <c r="N41" i="2"/>
  <c r="J41" i="2"/>
  <c r="O40" i="2"/>
  <c r="N40" i="2"/>
  <c r="J40" i="2"/>
  <c r="O39" i="2"/>
  <c r="N39" i="2"/>
  <c r="J39" i="2"/>
  <c r="O38" i="2"/>
  <c r="N38" i="2"/>
  <c r="J38" i="2"/>
  <c r="O37" i="2"/>
  <c r="N37" i="2"/>
  <c r="J37" i="2"/>
  <c r="O36" i="2"/>
  <c r="N36" i="2"/>
  <c r="J36" i="2"/>
  <c r="O35" i="2"/>
  <c r="N35" i="2"/>
  <c r="J35" i="2"/>
  <c r="O34" i="2"/>
  <c r="N34" i="2"/>
  <c r="J34" i="2"/>
  <c r="O33" i="2"/>
  <c r="N33" i="2"/>
  <c r="J33" i="2"/>
  <c r="O32" i="2"/>
  <c r="N32" i="2"/>
  <c r="J32" i="2"/>
  <c r="O31" i="2"/>
  <c r="N31" i="2"/>
  <c r="J31" i="2"/>
  <c r="O30" i="2"/>
  <c r="N30" i="2"/>
  <c r="J30" i="2"/>
  <c r="O29" i="2"/>
  <c r="N29" i="2"/>
  <c r="J29" i="2"/>
  <c r="O28" i="2"/>
  <c r="N28" i="2"/>
  <c r="J28" i="2"/>
  <c r="O27" i="2"/>
  <c r="N27" i="2"/>
  <c r="J27" i="2"/>
  <c r="O26" i="2"/>
  <c r="N26" i="2"/>
  <c r="J26" i="2"/>
  <c r="O25" i="2"/>
  <c r="N25" i="2"/>
  <c r="J25" i="2"/>
  <c r="O24" i="2"/>
  <c r="N24" i="2"/>
  <c r="J24" i="2"/>
  <c r="O23" i="2"/>
  <c r="N23" i="2"/>
  <c r="J23" i="2"/>
  <c r="O22" i="2"/>
  <c r="N22" i="2"/>
  <c r="J22" i="2"/>
  <c r="O21" i="2"/>
  <c r="N21" i="2"/>
  <c r="J21" i="2"/>
  <c r="O20" i="2"/>
  <c r="N20" i="2"/>
  <c r="J20" i="2"/>
  <c r="O19" i="2"/>
  <c r="N19" i="2"/>
  <c r="J19" i="2"/>
  <c r="O18" i="2"/>
  <c r="N18" i="2"/>
  <c r="J18" i="2"/>
  <c r="O17" i="2"/>
  <c r="N17" i="2"/>
  <c r="J17" i="2"/>
  <c r="O16" i="2"/>
  <c r="N16" i="2"/>
  <c r="J16" i="2"/>
  <c r="O15" i="2"/>
  <c r="N15" i="2"/>
  <c r="J15" i="2"/>
  <c r="O14" i="2"/>
  <c r="N14" i="2"/>
  <c r="J14" i="2"/>
  <c r="O13" i="2"/>
  <c r="N13" i="2"/>
  <c r="J13" i="2"/>
  <c r="O12" i="2"/>
  <c r="N12" i="2"/>
  <c r="J12" i="2"/>
  <c r="O11" i="2"/>
  <c r="N11" i="2"/>
  <c r="J11" i="2"/>
  <c r="O10" i="2"/>
  <c r="N10" i="2"/>
  <c r="J10" i="2"/>
  <c r="O9" i="2"/>
  <c r="N9" i="2"/>
  <c r="J9" i="2"/>
  <c r="O8" i="2"/>
  <c r="N8" i="2"/>
  <c r="J8" i="2"/>
  <c r="O7" i="2"/>
  <c r="N7" i="2"/>
  <c r="J7" i="2"/>
  <c r="O6" i="2"/>
  <c r="N6" i="2"/>
  <c r="J6" i="2"/>
  <c r="O5" i="2"/>
  <c r="N5" i="2"/>
  <c r="J5" i="2"/>
  <c r="O4" i="2"/>
  <c r="N4" i="2"/>
  <c r="J4" i="2"/>
  <c r="O3" i="2"/>
  <c r="N3" i="2"/>
  <c r="J3" i="2"/>
  <c r="O2" i="2"/>
  <c r="N2" i="2"/>
  <c r="J2" i="2"/>
  <c r="K241" i="4" l="1"/>
  <c r="E241" i="4"/>
  <c r="D241" i="4"/>
  <c r="C241" i="4"/>
  <c r="B241" i="4"/>
  <c r="A241" i="4"/>
  <c r="K241" i="2"/>
  <c r="F241" i="4" s="1"/>
  <c r="E240" i="4"/>
  <c r="D240" i="4"/>
  <c r="C240" i="4"/>
  <c r="B240" i="4"/>
  <c r="A240" i="4"/>
  <c r="K240" i="4"/>
  <c r="K240" i="2"/>
  <c r="F240" i="4" s="1"/>
  <c r="E239" i="4"/>
  <c r="D239" i="4"/>
  <c r="C239" i="4"/>
  <c r="B239" i="4"/>
  <c r="A239" i="4"/>
  <c r="K239" i="2"/>
  <c r="F239" i="4" s="1"/>
  <c r="K239" i="4"/>
  <c r="E238" i="4"/>
  <c r="D238" i="4"/>
  <c r="C238" i="4"/>
  <c r="B238" i="4"/>
  <c r="A238" i="4"/>
  <c r="K238" i="4"/>
  <c r="K238" i="2"/>
  <c r="F238" i="4" s="1"/>
  <c r="E237" i="4"/>
  <c r="D237" i="4"/>
  <c r="C237" i="4"/>
  <c r="B237" i="4"/>
  <c r="A237" i="4"/>
  <c r="K237" i="2"/>
  <c r="F237" i="4" s="1"/>
  <c r="K237" i="4"/>
  <c r="K236" i="4"/>
  <c r="E236" i="4"/>
  <c r="C236" i="4"/>
  <c r="B236" i="4"/>
  <c r="A236" i="4"/>
  <c r="K236" i="2"/>
  <c r="F236" i="4" s="1"/>
  <c r="D236" i="4"/>
  <c r="E235" i="4"/>
  <c r="D235" i="4"/>
  <c r="C235" i="4"/>
  <c r="B235" i="4"/>
  <c r="A235" i="4"/>
  <c r="K235" i="4"/>
  <c r="K235" i="2"/>
  <c r="F235" i="4"/>
  <c r="D234" i="4"/>
  <c r="C234" i="4"/>
  <c r="B234" i="4"/>
  <c r="A234" i="4"/>
  <c r="K234" i="4"/>
  <c r="K234" i="2"/>
  <c r="F234" i="4" s="1"/>
  <c r="E234" i="4"/>
  <c r="K233" i="4"/>
  <c r="E233" i="4"/>
  <c r="D233" i="4"/>
  <c r="C233" i="4"/>
  <c r="B233" i="4"/>
  <c r="A233" i="4"/>
  <c r="K233" i="2"/>
  <c r="F233" i="4" s="1"/>
  <c r="B232" i="4"/>
  <c r="A232" i="4"/>
  <c r="K232" i="4"/>
  <c r="E232" i="4"/>
  <c r="D232" i="4"/>
  <c r="K232" i="2"/>
  <c r="F232" i="4" s="1"/>
  <c r="C232" i="4"/>
  <c r="A231" i="4"/>
  <c r="K231" i="4"/>
  <c r="B231" i="4"/>
  <c r="E231" i="4"/>
  <c r="D231" i="4"/>
  <c r="C231" i="4"/>
  <c r="K231" i="2"/>
  <c r="F231" i="4" s="1"/>
  <c r="K230" i="4"/>
  <c r="E230" i="4"/>
  <c r="D230" i="4"/>
  <c r="C230" i="4"/>
  <c r="K230" i="2"/>
  <c r="F230" i="4" s="1"/>
  <c r="B230" i="4"/>
  <c r="A230" i="4"/>
  <c r="A229" i="4"/>
  <c r="C229" i="4"/>
  <c r="K229" i="4"/>
  <c r="K229" i="2"/>
  <c r="F229" i="4" s="1"/>
  <c r="B229" i="4"/>
  <c r="D229" i="4"/>
  <c r="E229" i="4"/>
  <c r="E228" i="4"/>
  <c r="D228" i="4"/>
  <c r="C228" i="4"/>
  <c r="B228" i="4"/>
  <c r="A228" i="4"/>
  <c r="K228" i="4"/>
  <c r="K228" i="2"/>
  <c r="F228" i="4" s="1"/>
  <c r="K227" i="4"/>
  <c r="E227" i="4"/>
  <c r="D227" i="4"/>
  <c r="C227" i="4"/>
  <c r="B227" i="4"/>
  <c r="A227" i="4"/>
  <c r="K227" i="2"/>
  <c r="F227" i="4" s="1"/>
  <c r="K226" i="4"/>
  <c r="E226" i="4"/>
  <c r="D226" i="4"/>
  <c r="C226" i="4"/>
  <c r="B226" i="4"/>
  <c r="A226" i="4"/>
  <c r="K226" i="2"/>
  <c r="K225" i="4"/>
  <c r="E225" i="4"/>
  <c r="C225" i="4"/>
  <c r="K225" i="2"/>
  <c r="F225" i="4" s="1"/>
  <c r="A225" i="4"/>
  <c r="B225" i="4"/>
  <c r="D225" i="4"/>
  <c r="B224" i="4"/>
  <c r="E224" i="4"/>
  <c r="K224" i="2"/>
  <c r="K224" i="4"/>
  <c r="D224" i="4"/>
  <c r="F224" i="4"/>
  <c r="C224" i="4"/>
  <c r="A224" i="4"/>
  <c r="D223" i="4"/>
  <c r="C223" i="4"/>
  <c r="B223" i="4"/>
  <c r="A223" i="4"/>
  <c r="E223" i="4"/>
  <c r="K223" i="4"/>
  <c r="K223" i="2"/>
  <c r="F223" i="4" s="1"/>
  <c r="M222" i="2"/>
  <c r="Q222" i="2"/>
  <c r="P222" i="2"/>
  <c r="L222" i="2"/>
  <c r="C222" i="4"/>
  <c r="B222" i="4"/>
  <c r="A222" i="4"/>
  <c r="H222" i="4"/>
  <c r="I16" i="3"/>
  <c r="J16" i="3" s="1"/>
  <c r="J222" i="4"/>
  <c r="K222" i="4"/>
  <c r="G222" i="4"/>
  <c r="I222" i="4"/>
  <c r="E222" i="4"/>
  <c r="D222" i="4"/>
  <c r="F222" i="4"/>
  <c r="E221" i="4"/>
  <c r="D221" i="4"/>
  <c r="C221" i="4"/>
  <c r="B221" i="4"/>
  <c r="K221" i="2"/>
  <c r="F221" i="4" s="1"/>
  <c r="A221" i="4"/>
  <c r="K221" i="4"/>
  <c r="B220" i="4"/>
  <c r="A220" i="4"/>
  <c r="K220" i="4"/>
  <c r="K220" i="2"/>
  <c r="F220" i="4" s="1"/>
  <c r="E220" i="4"/>
  <c r="D220" i="4"/>
  <c r="C220" i="4"/>
  <c r="K219" i="4"/>
  <c r="E219" i="4"/>
  <c r="K219" i="2"/>
  <c r="B219" i="4"/>
  <c r="A219" i="4"/>
  <c r="C219" i="4"/>
  <c r="D219" i="4"/>
  <c r="F219" i="4"/>
  <c r="E218" i="4"/>
  <c r="K218" i="2"/>
  <c r="F218" i="4" s="1"/>
  <c r="K218" i="4"/>
  <c r="A218" i="4"/>
  <c r="B218" i="4"/>
  <c r="C218" i="4"/>
  <c r="D218" i="4"/>
  <c r="K217" i="4"/>
  <c r="E217" i="4"/>
  <c r="D217" i="4"/>
  <c r="C217" i="4"/>
  <c r="A217" i="4"/>
  <c r="B217" i="4"/>
  <c r="K217" i="2"/>
  <c r="F217" i="4" s="1"/>
  <c r="K216" i="4"/>
  <c r="E216" i="4"/>
  <c r="D216" i="4"/>
  <c r="C216" i="4"/>
  <c r="B216" i="4"/>
  <c r="A216" i="4"/>
  <c r="K216" i="2"/>
  <c r="F216" i="4" s="1"/>
  <c r="K215" i="4"/>
  <c r="E215" i="4"/>
  <c r="D215" i="4"/>
  <c r="C215" i="4"/>
  <c r="B215" i="4"/>
  <c r="K215" i="2"/>
  <c r="F215" i="4" s="1"/>
  <c r="A215" i="4"/>
  <c r="A214" i="4"/>
  <c r="E214" i="4"/>
  <c r="D214" i="4"/>
  <c r="C214" i="4"/>
  <c r="K214" i="4"/>
  <c r="K214" i="2"/>
  <c r="B214" i="4"/>
  <c r="F214" i="4"/>
  <c r="K213" i="2"/>
  <c r="D213" i="4"/>
  <c r="A213" i="4"/>
  <c r="C213" i="4"/>
  <c r="K213" i="4"/>
  <c r="E213" i="4"/>
  <c r="F213" i="4"/>
  <c r="B213" i="4"/>
  <c r="E212" i="4"/>
  <c r="D212" i="4"/>
  <c r="C212" i="4"/>
  <c r="B212" i="4"/>
  <c r="A212" i="4"/>
  <c r="K212" i="2"/>
  <c r="F212" i="4" s="1"/>
  <c r="K212" i="4"/>
  <c r="K211" i="4"/>
  <c r="E211" i="4"/>
  <c r="C211" i="4"/>
  <c r="B211" i="4"/>
  <c r="A211" i="4"/>
  <c r="D211" i="4"/>
  <c r="K211" i="2"/>
  <c r="F211" i="4" s="1"/>
  <c r="E210" i="4"/>
  <c r="A210" i="4"/>
  <c r="D210" i="4"/>
  <c r="B210" i="4"/>
  <c r="K210" i="2"/>
  <c r="F210" i="4" s="1"/>
  <c r="K210" i="4"/>
  <c r="C210" i="4"/>
  <c r="E209" i="4"/>
  <c r="D209" i="4"/>
  <c r="C209" i="4"/>
  <c r="B209" i="4"/>
  <c r="A209" i="4"/>
  <c r="K209" i="2"/>
  <c r="F209" i="4" s="1"/>
  <c r="K209" i="4"/>
  <c r="C208" i="4"/>
  <c r="B208" i="4"/>
  <c r="A208" i="4"/>
  <c r="K208" i="2"/>
  <c r="F208" i="4" s="1"/>
  <c r="K208" i="4"/>
  <c r="E208" i="4"/>
  <c r="D208" i="4"/>
  <c r="K207" i="4"/>
  <c r="K207" i="2"/>
  <c r="A207" i="4"/>
  <c r="B207" i="4"/>
  <c r="C207" i="4"/>
  <c r="D207" i="4"/>
  <c r="E207" i="4"/>
  <c r="F207" i="4"/>
  <c r="D206" i="4"/>
  <c r="C206" i="4"/>
  <c r="B206" i="4"/>
  <c r="A206" i="4"/>
  <c r="K206" i="2"/>
  <c r="F206" i="4" s="1"/>
  <c r="E206" i="4"/>
  <c r="K206" i="4"/>
  <c r="E205" i="4"/>
  <c r="D205" i="4"/>
  <c r="C205" i="4"/>
  <c r="B205" i="4"/>
  <c r="A205" i="4"/>
  <c r="K205" i="4"/>
  <c r="K205" i="2"/>
  <c r="F205" i="4" s="1"/>
  <c r="D204" i="4"/>
  <c r="E204" i="4"/>
  <c r="A204" i="4"/>
  <c r="B204" i="4"/>
  <c r="K204" i="4"/>
  <c r="C204" i="4"/>
  <c r="K204" i="2"/>
  <c r="F204" i="4" s="1"/>
  <c r="A203" i="4"/>
  <c r="K203" i="4"/>
  <c r="K203" i="2"/>
  <c r="F203" i="4"/>
  <c r="E203" i="4"/>
  <c r="D203" i="4"/>
  <c r="C203" i="4"/>
  <c r="B203" i="4"/>
  <c r="B202" i="4"/>
  <c r="K202" i="4"/>
  <c r="C202" i="4"/>
  <c r="D202" i="4"/>
  <c r="E202" i="4"/>
  <c r="K202" i="2"/>
  <c r="F202" i="4" s="1"/>
  <c r="I15" i="3"/>
  <c r="J15" i="3" s="1"/>
  <c r="A202" i="4"/>
  <c r="E201" i="4"/>
  <c r="K201" i="4"/>
  <c r="A201" i="4"/>
  <c r="K201" i="2"/>
  <c r="B201" i="4"/>
  <c r="C201" i="4"/>
  <c r="D201" i="4"/>
  <c r="F201" i="4"/>
  <c r="E200" i="4"/>
  <c r="C200" i="4"/>
  <c r="K200" i="2"/>
  <c r="A200" i="4"/>
  <c r="B200" i="4"/>
  <c r="D200" i="4"/>
  <c r="F200" i="4"/>
  <c r="K200" i="4"/>
  <c r="E199" i="4"/>
  <c r="K199" i="2"/>
  <c r="A199" i="4"/>
  <c r="B199" i="4"/>
  <c r="C199" i="4"/>
  <c r="D199" i="4"/>
  <c r="F199" i="4"/>
  <c r="K199" i="4"/>
  <c r="E198" i="4"/>
  <c r="C198" i="4"/>
  <c r="D198" i="4"/>
  <c r="K198" i="2"/>
  <c r="K198" i="4"/>
  <c r="B198" i="4"/>
  <c r="F198" i="4"/>
  <c r="A198" i="4"/>
  <c r="K197" i="4"/>
  <c r="E197" i="4"/>
  <c r="D197" i="4"/>
  <c r="C197" i="4"/>
  <c r="B197" i="4"/>
  <c r="K197" i="2"/>
  <c r="F197" i="4" s="1"/>
  <c r="A197" i="4"/>
  <c r="K196" i="4"/>
  <c r="E196" i="4"/>
  <c r="D196" i="4"/>
  <c r="C196" i="4"/>
  <c r="B196" i="4"/>
  <c r="A196" i="4"/>
  <c r="K196" i="2"/>
  <c r="F196" i="4" s="1"/>
  <c r="K195" i="4"/>
  <c r="A195" i="4"/>
  <c r="K195" i="2"/>
  <c r="F195" i="4"/>
  <c r="E195" i="4"/>
  <c r="D195" i="4"/>
  <c r="C195" i="4"/>
  <c r="B195" i="4"/>
  <c r="K194" i="4"/>
  <c r="A194" i="4"/>
  <c r="B194" i="4"/>
  <c r="C194" i="4"/>
  <c r="D194" i="4"/>
  <c r="E194" i="4"/>
  <c r="K194" i="2"/>
  <c r="F194" i="4" s="1"/>
  <c r="K193" i="4"/>
  <c r="E193" i="4"/>
  <c r="B193" i="4"/>
  <c r="K193" i="2"/>
  <c r="F193" i="4" s="1"/>
  <c r="D193" i="4"/>
  <c r="C193" i="4"/>
  <c r="A193" i="4"/>
  <c r="A192" i="4"/>
  <c r="B192" i="4"/>
  <c r="C192" i="4"/>
  <c r="E192" i="4"/>
  <c r="K192" i="2"/>
  <c r="D192" i="4"/>
  <c r="F192" i="4"/>
  <c r="K192" i="4"/>
  <c r="B191" i="4"/>
  <c r="A191" i="4"/>
  <c r="E191" i="4"/>
  <c r="D191" i="4"/>
  <c r="C191" i="4"/>
  <c r="K191" i="2"/>
  <c r="F191" i="4" s="1"/>
  <c r="K191" i="4"/>
  <c r="K190" i="4"/>
  <c r="A190" i="4"/>
  <c r="B190" i="4"/>
  <c r="C190" i="4"/>
  <c r="D190" i="4"/>
  <c r="E190" i="4"/>
  <c r="K190" i="2"/>
  <c r="F190" i="4" s="1"/>
  <c r="B189" i="4"/>
  <c r="K189" i="4"/>
  <c r="C189" i="4"/>
  <c r="K189" i="2"/>
  <c r="F189" i="4" s="1"/>
  <c r="D189" i="4"/>
  <c r="E189" i="4"/>
  <c r="A189" i="4"/>
  <c r="E188" i="4"/>
  <c r="D188" i="4"/>
  <c r="C188" i="4"/>
  <c r="B188" i="4"/>
  <c r="A188" i="4"/>
  <c r="K188" i="4"/>
  <c r="K188" i="2"/>
  <c r="F188" i="4" s="1"/>
  <c r="B187" i="4"/>
  <c r="A187" i="4"/>
  <c r="K187" i="4"/>
  <c r="K187" i="2"/>
  <c r="F187" i="4"/>
  <c r="E187" i="4"/>
  <c r="D187" i="4"/>
  <c r="C187" i="4"/>
  <c r="A186" i="4"/>
  <c r="K186" i="2"/>
  <c r="K186" i="4"/>
  <c r="F186" i="4"/>
  <c r="E186" i="4"/>
  <c r="D186" i="4"/>
  <c r="C186" i="4"/>
  <c r="B186" i="4"/>
  <c r="A185" i="4"/>
  <c r="K185" i="4"/>
  <c r="K185" i="2"/>
  <c r="F185" i="4"/>
  <c r="E185" i="4"/>
  <c r="D185" i="4"/>
  <c r="C185" i="4"/>
  <c r="B185" i="4"/>
  <c r="K184" i="4"/>
  <c r="K184" i="2"/>
  <c r="F184" i="4"/>
  <c r="E184" i="4"/>
  <c r="D184" i="4"/>
  <c r="C184" i="4"/>
  <c r="B184" i="4"/>
  <c r="A184" i="4"/>
  <c r="C183" i="4"/>
  <c r="D183" i="4"/>
  <c r="K183" i="2"/>
  <c r="K183" i="4"/>
  <c r="F183" i="4"/>
  <c r="A183" i="4"/>
  <c r="B183" i="4"/>
  <c r="E183" i="4"/>
  <c r="K182" i="4"/>
  <c r="E182" i="4"/>
  <c r="D182" i="4"/>
  <c r="C182" i="4"/>
  <c r="I14" i="3"/>
  <c r="J14" i="3" s="1"/>
  <c r="B182" i="4"/>
  <c r="A182" i="4"/>
  <c r="K182" i="2"/>
  <c r="F182" i="4" s="1"/>
  <c r="K181" i="4"/>
  <c r="K181" i="2"/>
  <c r="A181" i="4"/>
  <c r="B181" i="4"/>
  <c r="F181" i="4"/>
  <c r="E181" i="4"/>
  <c r="D181" i="4"/>
  <c r="C181" i="4"/>
  <c r="K180" i="4"/>
  <c r="K180" i="2"/>
  <c r="C180" i="4"/>
  <c r="A180" i="4"/>
  <c r="B180" i="4"/>
  <c r="D180" i="4"/>
  <c r="E180" i="4"/>
  <c r="F180" i="4"/>
  <c r="K179" i="2"/>
  <c r="F179" i="4" s="1"/>
  <c r="D179" i="4"/>
  <c r="E179" i="4"/>
  <c r="K179" i="4"/>
  <c r="B179" i="4"/>
  <c r="A179" i="4"/>
  <c r="C179" i="4"/>
  <c r="A178" i="4"/>
  <c r="B178" i="4"/>
  <c r="C178" i="4"/>
  <c r="K178" i="2"/>
  <c r="D178" i="4"/>
  <c r="E178" i="4"/>
  <c r="K178" i="4"/>
  <c r="F178" i="4"/>
  <c r="K177" i="4"/>
  <c r="K177" i="2"/>
  <c r="F177" i="4"/>
  <c r="E177" i="4"/>
  <c r="D177" i="4"/>
  <c r="C177" i="4"/>
  <c r="B177" i="4"/>
  <c r="A177" i="4"/>
  <c r="E176" i="4"/>
  <c r="D176" i="4"/>
  <c r="C176" i="4"/>
  <c r="B176" i="4"/>
  <c r="A176" i="4"/>
  <c r="K176" i="2"/>
  <c r="F176" i="4" s="1"/>
  <c r="K176" i="4"/>
  <c r="K175" i="4"/>
  <c r="D175" i="4"/>
  <c r="E175" i="4"/>
  <c r="C175" i="4"/>
  <c r="K175" i="2"/>
  <c r="F175" i="4" s="1"/>
  <c r="B175" i="4"/>
  <c r="A175" i="4"/>
  <c r="A174" i="4"/>
  <c r="B174" i="4"/>
  <c r="D174" i="4"/>
  <c r="E174" i="4"/>
  <c r="K174" i="4"/>
  <c r="K174" i="2"/>
  <c r="F174" i="4" s="1"/>
  <c r="C174" i="4"/>
  <c r="K173" i="4"/>
  <c r="E173" i="4"/>
  <c r="D173" i="4"/>
  <c r="K173" i="2"/>
  <c r="F173" i="4" s="1"/>
  <c r="A173" i="4"/>
  <c r="C173" i="4"/>
  <c r="B173" i="4"/>
  <c r="A172" i="4"/>
  <c r="K172" i="2"/>
  <c r="C172" i="4"/>
  <c r="D172" i="4"/>
  <c r="E172" i="4"/>
  <c r="F172" i="4"/>
  <c r="B172" i="4"/>
  <c r="K172" i="4"/>
  <c r="K171" i="2"/>
  <c r="F171" i="4"/>
  <c r="E171" i="4"/>
  <c r="D171" i="4"/>
  <c r="C171" i="4"/>
  <c r="B171" i="4"/>
  <c r="A171" i="4"/>
  <c r="K171" i="4"/>
  <c r="K170" i="2"/>
  <c r="F170" i="4" s="1"/>
  <c r="K170" i="4"/>
  <c r="E170" i="4"/>
  <c r="D170" i="4"/>
  <c r="C170" i="4"/>
  <c r="A170" i="4"/>
  <c r="B170" i="4"/>
  <c r="K169" i="4"/>
  <c r="A169" i="4"/>
  <c r="B169" i="4"/>
  <c r="C169" i="4"/>
  <c r="D169" i="4"/>
  <c r="E169" i="4"/>
  <c r="K169" i="2"/>
  <c r="F169" i="4" s="1"/>
  <c r="E168" i="4"/>
  <c r="K168" i="2"/>
  <c r="F168" i="4" s="1"/>
  <c r="K168" i="4"/>
  <c r="B168" i="4"/>
  <c r="A168" i="4"/>
  <c r="D168" i="4"/>
  <c r="C168" i="4"/>
  <c r="E167" i="4"/>
  <c r="K167" i="4"/>
  <c r="D167" i="4"/>
  <c r="B167" i="4"/>
  <c r="C167" i="4"/>
  <c r="A167" i="4"/>
  <c r="K167" i="2"/>
  <c r="F167" i="4" s="1"/>
  <c r="D166" i="4"/>
  <c r="E166" i="4"/>
  <c r="K166" i="2"/>
  <c r="F166" i="4"/>
  <c r="K166" i="4"/>
  <c r="A166" i="4"/>
  <c r="B166" i="4"/>
  <c r="C166" i="4"/>
  <c r="B165" i="4"/>
  <c r="E165" i="4"/>
  <c r="D165" i="4"/>
  <c r="C165" i="4"/>
  <c r="A165" i="4"/>
  <c r="K165" i="4"/>
  <c r="K165" i="2"/>
  <c r="F165" i="4" s="1"/>
  <c r="K164" i="4"/>
  <c r="A164" i="4"/>
  <c r="B164" i="4"/>
  <c r="C164" i="4"/>
  <c r="D164" i="4"/>
  <c r="E164" i="4"/>
  <c r="K164" i="2"/>
  <c r="F164" i="4" s="1"/>
  <c r="B163" i="4"/>
  <c r="C163" i="4"/>
  <c r="D163" i="4"/>
  <c r="E163" i="4"/>
  <c r="K163" i="4"/>
  <c r="A163" i="4"/>
  <c r="K163" i="2"/>
  <c r="F163" i="4" s="1"/>
  <c r="D162" i="4"/>
  <c r="C162" i="4"/>
  <c r="B162" i="4"/>
  <c r="A162" i="4"/>
  <c r="E162" i="4"/>
  <c r="K162" i="2"/>
  <c r="F162" i="4" s="1"/>
  <c r="I13" i="3"/>
  <c r="J13" i="3" s="1"/>
  <c r="K162" i="4"/>
  <c r="K161" i="4"/>
  <c r="E161" i="4"/>
  <c r="D161" i="4"/>
  <c r="C161" i="4"/>
  <c r="B161" i="4"/>
  <c r="A161" i="4"/>
  <c r="K161" i="2"/>
  <c r="F161" i="4" s="1"/>
  <c r="A160" i="4"/>
  <c r="K160" i="4"/>
  <c r="B160" i="4"/>
  <c r="E160" i="4"/>
  <c r="D160" i="4"/>
  <c r="C160" i="4"/>
  <c r="K160" i="2"/>
  <c r="F160" i="4" s="1"/>
  <c r="A159" i="4"/>
  <c r="B159" i="4"/>
  <c r="C159" i="4"/>
  <c r="D159" i="4"/>
  <c r="E159" i="4"/>
  <c r="K159" i="4"/>
  <c r="K159" i="2"/>
  <c r="F159" i="4" s="1"/>
  <c r="B158" i="4"/>
  <c r="A158" i="4"/>
  <c r="C158" i="4"/>
  <c r="D158" i="4"/>
  <c r="E158" i="4"/>
  <c r="K158" i="4"/>
  <c r="K158" i="2"/>
  <c r="F158" i="4" s="1"/>
  <c r="A157" i="4"/>
  <c r="B157" i="4"/>
  <c r="C157" i="4"/>
  <c r="D157" i="4"/>
  <c r="E157" i="4"/>
  <c r="K157" i="4"/>
  <c r="K157" i="2"/>
  <c r="F157" i="4" s="1"/>
  <c r="C156" i="4"/>
  <c r="D156" i="4"/>
  <c r="E156" i="4"/>
  <c r="A156" i="4"/>
  <c r="K156" i="4"/>
  <c r="B156" i="4"/>
  <c r="K156" i="2"/>
  <c r="F156" i="4" s="1"/>
  <c r="D155" i="4"/>
  <c r="E155" i="4"/>
  <c r="B155" i="4"/>
  <c r="A155" i="4"/>
  <c r="C155" i="4"/>
  <c r="K155" i="4"/>
  <c r="K155" i="2"/>
  <c r="F155" i="4" s="1"/>
  <c r="A154" i="4"/>
  <c r="C154" i="4"/>
  <c r="D154" i="4"/>
  <c r="E154" i="4"/>
  <c r="K154" i="4"/>
  <c r="B154" i="4"/>
  <c r="K154" i="2"/>
  <c r="F154" i="4" s="1"/>
  <c r="E153" i="4"/>
  <c r="D153" i="4"/>
  <c r="C153" i="4"/>
  <c r="B153" i="4"/>
  <c r="A153" i="4"/>
  <c r="K153" i="2"/>
  <c r="F153" i="4" s="1"/>
  <c r="K153" i="4"/>
  <c r="C152" i="4"/>
  <c r="D152" i="4"/>
  <c r="E152" i="4"/>
  <c r="K152" i="4"/>
  <c r="B152" i="4"/>
  <c r="A152" i="4"/>
  <c r="K152" i="2"/>
  <c r="F152" i="4" s="1"/>
  <c r="K151" i="2"/>
  <c r="K151" i="4"/>
  <c r="E151" i="4"/>
  <c r="A151" i="4"/>
  <c r="B151" i="4"/>
  <c r="C151" i="4"/>
  <c r="D151" i="4"/>
  <c r="F151" i="4"/>
  <c r="K150" i="2"/>
  <c r="A150" i="4"/>
  <c r="B150" i="4"/>
  <c r="C150" i="4"/>
  <c r="D150" i="4"/>
  <c r="K150" i="4"/>
  <c r="F150" i="4"/>
  <c r="E150" i="4"/>
  <c r="E149" i="4"/>
  <c r="D149" i="4"/>
  <c r="C149" i="4"/>
  <c r="B149" i="4"/>
  <c r="A149" i="4"/>
  <c r="K149" i="4"/>
  <c r="K149" i="2"/>
  <c r="F149" i="4" s="1"/>
  <c r="C148" i="4"/>
  <c r="E148" i="4"/>
  <c r="D148" i="4"/>
  <c r="K148" i="2"/>
  <c r="K148" i="4"/>
  <c r="A148" i="4"/>
  <c r="B148" i="4"/>
  <c r="F148" i="4"/>
  <c r="A147" i="4"/>
  <c r="E147" i="4"/>
  <c r="B147" i="4"/>
  <c r="K147" i="4"/>
  <c r="C147" i="4"/>
  <c r="D147" i="4"/>
  <c r="K147" i="2"/>
  <c r="F147" i="4" s="1"/>
  <c r="K146" i="4"/>
  <c r="K146" i="2"/>
  <c r="F146" i="4"/>
  <c r="E146" i="4"/>
  <c r="D146" i="4"/>
  <c r="C146" i="4"/>
  <c r="B146" i="4"/>
  <c r="A146" i="4"/>
  <c r="E145" i="4"/>
  <c r="K145" i="4"/>
  <c r="D145" i="4"/>
  <c r="C145" i="4"/>
  <c r="B145" i="4"/>
  <c r="A145" i="4"/>
  <c r="K145" i="2"/>
  <c r="F145" i="4" s="1"/>
  <c r="A144" i="4"/>
  <c r="K144" i="4"/>
  <c r="C144" i="4"/>
  <c r="D144" i="4"/>
  <c r="E144" i="4"/>
  <c r="B144" i="4"/>
  <c r="K144" i="2"/>
  <c r="F144" i="4" s="1"/>
  <c r="D143" i="4"/>
  <c r="K143" i="2"/>
  <c r="C143" i="4"/>
  <c r="B143" i="4"/>
  <c r="A143" i="4"/>
  <c r="K143" i="4"/>
  <c r="F143" i="4"/>
  <c r="E143" i="4"/>
  <c r="I12" i="3"/>
  <c r="J12" i="3" s="1"/>
  <c r="K142" i="2"/>
  <c r="F142" i="4"/>
  <c r="K142" i="4"/>
  <c r="E142" i="4"/>
  <c r="D142" i="4"/>
  <c r="C142" i="4"/>
  <c r="B142" i="4"/>
  <c r="A142" i="4"/>
  <c r="C141" i="4"/>
  <c r="K141" i="4"/>
  <c r="E141" i="4"/>
  <c r="K141" i="2"/>
  <c r="F141" i="4" s="1"/>
  <c r="D141" i="4"/>
  <c r="B141" i="4"/>
  <c r="A141" i="4"/>
  <c r="K140" i="2"/>
  <c r="K140" i="4"/>
  <c r="F140" i="4"/>
  <c r="E140" i="4"/>
  <c r="D140" i="4"/>
  <c r="C140" i="4"/>
  <c r="B140" i="4"/>
  <c r="A140" i="4"/>
  <c r="A139" i="4"/>
  <c r="K139" i="2"/>
  <c r="F139" i="4"/>
  <c r="E139" i="4"/>
  <c r="D139" i="4"/>
  <c r="C139" i="4"/>
  <c r="B139" i="4"/>
  <c r="K139" i="4"/>
  <c r="E138" i="4"/>
  <c r="D138" i="4"/>
  <c r="C138" i="4"/>
  <c r="B138" i="4"/>
  <c r="A138" i="4"/>
  <c r="K138" i="2"/>
  <c r="F138" i="4" s="1"/>
  <c r="K138" i="4"/>
  <c r="K137" i="4"/>
  <c r="E137" i="4"/>
  <c r="B137" i="4"/>
  <c r="C137" i="4"/>
  <c r="A137" i="4"/>
  <c r="K137" i="2"/>
  <c r="F137" i="4" s="1"/>
  <c r="D137" i="4"/>
  <c r="E136" i="4"/>
  <c r="D136" i="4"/>
  <c r="C136" i="4"/>
  <c r="B136" i="4"/>
  <c r="A136" i="4"/>
  <c r="K136" i="2"/>
  <c r="F136" i="4" s="1"/>
  <c r="K136" i="4"/>
  <c r="E135" i="4"/>
  <c r="D135" i="4"/>
  <c r="C135" i="4"/>
  <c r="B135" i="4"/>
  <c r="A135" i="4"/>
  <c r="K135" i="4"/>
  <c r="K135" i="2"/>
  <c r="F135" i="4" s="1"/>
  <c r="K134" i="4"/>
  <c r="A134" i="4"/>
  <c r="E134" i="4"/>
  <c r="D134" i="4"/>
  <c r="C134" i="4"/>
  <c r="B134" i="4"/>
  <c r="K134" i="2"/>
  <c r="F134" i="4" s="1"/>
  <c r="K133" i="4"/>
  <c r="A133" i="4"/>
  <c r="B133" i="4"/>
  <c r="C133" i="4"/>
  <c r="E133" i="4"/>
  <c r="D133" i="4"/>
  <c r="K133" i="2"/>
  <c r="F133" i="4" s="1"/>
  <c r="A132" i="4"/>
  <c r="K132" i="4"/>
  <c r="E132" i="4"/>
  <c r="D132" i="4"/>
  <c r="C132" i="4"/>
  <c r="B132" i="4"/>
  <c r="K132" i="2"/>
  <c r="F132" i="4" s="1"/>
  <c r="C131" i="4"/>
  <c r="A131" i="4"/>
  <c r="E131" i="4"/>
  <c r="D131" i="4"/>
  <c r="B131" i="4"/>
  <c r="K131" i="2"/>
  <c r="F131" i="4" s="1"/>
  <c r="K131" i="4"/>
  <c r="E130" i="4"/>
  <c r="D130" i="4"/>
  <c r="C130" i="4"/>
  <c r="B130" i="4"/>
  <c r="K130" i="2"/>
  <c r="F130" i="4" s="1"/>
  <c r="A130" i="4"/>
  <c r="K130" i="4"/>
  <c r="A129" i="4"/>
  <c r="B129" i="4"/>
  <c r="C129" i="4"/>
  <c r="D129" i="4"/>
  <c r="K129" i="2"/>
  <c r="F129" i="4" s="1"/>
  <c r="E129" i="4"/>
  <c r="K129" i="4"/>
  <c r="A128" i="4"/>
  <c r="K128" i="2"/>
  <c r="K128" i="4"/>
  <c r="D128" i="4"/>
  <c r="E128" i="4"/>
  <c r="C128" i="4"/>
  <c r="B128" i="4"/>
  <c r="F128" i="4"/>
  <c r="K127" i="4"/>
  <c r="K127" i="2"/>
  <c r="F127" i="4"/>
  <c r="A127" i="4"/>
  <c r="C127" i="4"/>
  <c r="B127" i="4"/>
  <c r="D127" i="4"/>
  <c r="E127" i="4"/>
  <c r="K126" i="2"/>
  <c r="E126" i="4"/>
  <c r="A126" i="4"/>
  <c r="F126" i="4"/>
  <c r="C126" i="4"/>
  <c r="K126" i="4"/>
  <c r="B126" i="4"/>
  <c r="D126" i="4"/>
  <c r="K125" i="2"/>
  <c r="F125" i="4" s="1"/>
  <c r="A125" i="4"/>
  <c r="B125" i="4"/>
  <c r="C125" i="4"/>
  <c r="D125" i="4"/>
  <c r="K125" i="4"/>
  <c r="E125" i="4"/>
  <c r="E124" i="4"/>
  <c r="D124" i="4"/>
  <c r="C124" i="4"/>
  <c r="B124" i="4"/>
  <c r="A124" i="4"/>
  <c r="K124" i="2"/>
  <c r="K124" i="4"/>
  <c r="F124" i="4"/>
  <c r="K123" i="4"/>
  <c r="E123" i="4"/>
  <c r="D123" i="4"/>
  <c r="C123" i="4"/>
  <c r="B123" i="4"/>
  <c r="A123" i="4"/>
  <c r="K123" i="2"/>
  <c r="F123" i="4" s="1"/>
  <c r="K122" i="4"/>
  <c r="E122" i="4"/>
  <c r="D122" i="4"/>
  <c r="C122" i="4"/>
  <c r="B122" i="4"/>
  <c r="A122" i="4"/>
  <c r="K122" i="2"/>
  <c r="F122" i="4" s="1"/>
  <c r="I11" i="3"/>
  <c r="J11" i="3" s="1"/>
  <c r="E121" i="4"/>
  <c r="D121" i="4"/>
  <c r="C121" i="4"/>
  <c r="B121" i="4"/>
  <c r="A121" i="4"/>
  <c r="K121" i="4"/>
  <c r="K121" i="2"/>
  <c r="F121" i="4" s="1"/>
  <c r="K120" i="4"/>
  <c r="B120" i="4"/>
  <c r="E120" i="4"/>
  <c r="D120" i="4"/>
  <c r="C120" i="4"/>
  <c r="A120" i="4"/>
  <c r="K120" i="2"/>
  <c r="F120" i="4" s="1"/>
  <c r="B119" i="4"/>
  <c r="K119" i="2"/>
  <c r="K119" i="4"/>
  <c r="F119" i="4"/>
  <c r="E119" i="4"/>
  <c r="D119" i="4"/>
  <c r="C119" i="4"/>
  <c r="A119" i="4"/>
  <c r="E118" i="4"/>
  <c r="D118" i="4"/>
  <c r="C118" i="4"/>
  <c r="B118" i="4"/>
  <c r="K118" i="2"/>
  <c r="F118" i="4" s="1"/>
  <c r="A118" i="4"/>
  <c r="K118" i="4"/>
  <c r="K117" i="4"/>
  <c r="K117" i="2"/>
  <c r="F117" i="4" s="1"/>
  <c r="A117" i="4"/>
  <c r="B117" i="4"/>
  <c r="C117" i="4"/>
  <c r="D117" i="4"/>
  <c r="E117" i="4"/>
  <c r="E116" i="4"/>
  <c r="D116" i="4"/>
  <c r="K116" i="4"/>
  <c r="B116" i="4"/>
  <c r="K116" i="2"/>
  <c r="A116" i="4"/>
  <c r="C116" i="4"/>
  <c r="F116" i="4"/>
  <c r="D115" i="4"/>
  <c r="C115" i="4"/>
  <c r="B115" i="4"/>
  <c r="A115" i="4"/>
  <c r="K115" i="4"/>
  <c r="E115" i="4"/>
  <c r="K115" i="2"/>
  <c r="F115" i="4" s="1"/>
  <c r="E114" i="4"/>
  <c r="D114" i="4"/>
  <c r="C114" i="4"/>
  <c r="B114" i="4"/>
  <c r="A114" i="4"/>
  <c r="K114" i="4"/>
  <c r="K114" i="2"/>
  <c r="F114" i="4" s="1"/>
  <c r="A113" i="4"/>
  <c r="K113" i="4"/>
  <c r="E113" i="4"/>
  <c r="B113" i="4"/>
  <c r="C113" i="4"/>
  <c r="D113" i="4"/>
  <c r="K113" i="2"/>
  <c r="F113" i="4" s="1"/>
  <c r="A112" i="4"/>
  <c r="K112" i="4"/>
  <c r="C112" i="4"/>
  <c r="D112" i="4"/>
  <c r="B112" i="4"/>
  <c r="E112" i="4"/>
  <c r="K112" i="2"/>
  <c r="F112" i="4" s="1"/>
  <c r="K111" i="4"/>
  <c r="E111" i="4"/>
  <c r="D111" i="4"/>
  <c r="C111" i="4"/>
  <c r="B111" i="4"/>
  <c r="A111" i="4"/>
  <c r="K111" i="2"/>
  <c r="F111" i="4" s="1"/>
  <c r="K110" i="4"/>
  <c r="A110" i="4"/>
  <c r="B110" i="4"/>
  <c r="K110" i="2"/>
  <c r="C110" i="4"/>
  <c r="D110" i="4"/>
  <c r="E110" i="4"/>
  <c r="F110" i="4"/>
  <c r="B109" i="4"/>
  <c r="K109" i="2"/>
  <c r="K109" i="4"/>
  <c r="A109" i="4"/>
  <c r="C109" i="4"/>
  <c r="D109" i="4"/>
  <c r="E109" i="4"/>
  <c r="F109" i="4"/>
  <c r="K108" i="4"/>
  <c r="B108" i="4"/>
  <c r="A108" i="4"/>
  <c r="K108" i="2"/>
  <c r="F108" i="4" s="1"/>
  <c r="E108" i="4"/>
  <c r="D108" i="4"/>
  <c r="C108" i="4"/>
  <c r="C107" i="4"/>
  <c r="B107" i="4"/>
  <c r="A107" i="4"/>
  <c r="K107" i="4"/>
  <c r="K107" i="2"/>
  <c r="F107" i="4"/>
  <c r="E107" i="4"/>
  <c r="D107" i="4"/>
  <c r="D106" i="4"/>
  <c r="K106" i="2"/>
  <c r="E106" i="4"/>
  <c r="F106" i="4"/>
  <c r="A106" i="4"/>
  <c r="B106" i="4"/>
  <c r="C106" i="4"/>
  <c r="K106" i="4"/>
  <c r="E105" i="4"/>
  <c r="K105" i="2"/>
  <c r="F105" i="4"/>
  <c r="K105" i="4"/>
  <c r="A105" i="4"/>
  <c r="B105" i="4"/>
  <c r="C105" i="4"/>
  <c r="D105" i="4"/>
  <c r="C104" i="4"/>
  <c r="E104" i="4"/>
  <c r="D104" i="4"/>
  <c r="A104" i="4"/>
  <c r="B104" i="4"/>
  <c r="K104" i="2"/>
  <c r="F104" i="4" s="1"/>
  <c r="K104" i="4"/>
  <c r="E103" i="4"/>
  <c r="K103" i="4"/>
  <c r="K103" i="2"/>
  <c r="F103" i="4" s="1"/>
  <c r="D103" i="4"/>
  <c r="C103" i="4"/>
  <c r="B103" i="4"/>
  <c r="A103" i="4"/>
  <c r="E102" i="4"/>
  <c r="K102" i="2"/>
  <c r="D102" i="4"/>
  <c r="I10" i="3"/>
  <c r="J10" i="3" s="1"/>
  <c r="K102" i="4"/>
  <c r="F102" i="4"/>
  <c r="C102" i="4"/>
  <c r="B102" i="4"/>
  <c r="A102" i="4"/>
  <c r="D101" i="4"/>
  <c r="C101" i="4"/>
  <c r="B101" i="4"/>
  <c r="A101" i="4"/>
  <c r="K101" i="2"/>
  <c r="F101" i="4" s="1"/>
  <c r="E101" i="4"/>
  <c r="K101" i="4"/>
  <c r="K100" i="4"/>
  <c r="C100" i="4"/>
  <c r="K100" i="2"/>
  <c r="F100" i="4" s="1"/>
  <c r="A100" i="4"/>
  <c r="B100" i="4"/>
  <c r="D100" i="4"/>
  <c r="E100" i="4"/>
  <c r="E99" i="4"/>
  <c r="A99" i="4"/>
  <c r="D99" i="4"/>
  <c r="C99" i="4"/>
  <c r="B99" i="4"/>
  <c r="K99" i="2"/>
  <c r="F99" i="4" s="1"/>
  <c r="K99" i="4"/>
  <c r="E98" i="4"/>
  <c r="D98" i="4"/>
  <c r="C98" i="4"/>
  <c r="A98" i="4"/>
  <c r="B98" i="4"/>
  <c r="K98" i="2"/>
  <c r="F98" i="4" s="1"/>
  <c r="K98" i="4"/>
  <c r="C97" i="4"/>
  <c r="D97" i="4"/>
  <c r="K97" i="2"/>
  <c r="F97" i="4" s="1"/>
  <c r="E97" i="4"/>
  <c r="K97" i="4"/>
  <c r="A97" i="4"/>
  <c r="B97" i="4"/>
  <c r="E96" i="4"/>
  <c r="K96" i="4"/>
  <c r="K96" i="2"/>
  <c r="F96" i="4" s="1"/>
  <c r="C96" i="4"/>
  <c r="D96" i="4"/>
  <c r="B96" i="4"/>
  <c r="A96" i="4"/>
  <c r="B95" i="4"/>
  <c r="C95" i="4"/>
  <c r="D95" i="4"/>
  <c r="E95" i="4"/>
  <c r="K95" i="4"/>
  <c r="K95" i="2"/>
  <c r="F95" i="4" s="1"/>
  <c r="A95" i="4"/>
  <c r="B94" i="4"/>
  <c r="C94" i="4"/>
  <c r="K94" i="2"/>
  <c r="E94" i="4"/>
  <c r="F94" i="4"/>
  <c r="K94" i="4"/>
  <c r="A94" i="4"/>
  <c r="D94" i="4"/>
  <c r="K93" i="4"/>
  <c r="D93" i="4"/>
  <c r="C93" i="4"/>
  <c r="B93" i="4"/>
  <c r="A93" i="4"/>
  <c r="E93" i="4"/>
  <c r="K93" i="2"/>
  <c r="F93" i="4" s="1"/>
  <c r="K92" i="4"/>
  <c r="E92" i="4"/>
  <c r="D92" i="4"/>
  <c r="C92" i="4"/>
  <c r="B92" i="4"/>
  <c r="A92" i="4"/>
  <c r="K92" i="2"/>
  <c r="F92" i="4" s="1"/>
  <c r="K91" i="4"/>
  <c r="E91" i="4"/>
  <c r="D91" i="4"/>
  <c r="C91" i="4"/>
  <c r="B91" i="4"/>
  <c r="A91" i="4"/>
  <c r="K91" i="2"/>
  <c r="F91" i="4" s="1"/>
  <c r="E90" i="4"/>
  <c r="D90" i="4"/>
  <c r="C90" i="4"/>
  <c r="B90" i="4"/>
  <c r="A90" i="4"/>
  <c r="K90" i="4"/>
  <c r="K90" i="2"/>
  <c r="F90" i="4" s="1"/>
  <c r="E89" i="4"/>
  <c r="D89" i="4"/>
  <c r="C89" i="4"/>
  <c r="B89" i="4"/>
  <c r="A89" i="4"/>
  <c r="K89" i="4"/>
  <c r="K89" i="2"/>
  <c r="F89" i="4" s="1"/>
  <c r="K88" i="4"/>
  <c r="E88" i="4"/>
  <c r="D88" i="4"/>
  <c r="C88" i="4"/>
  <c r="A88" i="4"/>
  <c r="K88" i="2"/>
  <c r="F88" i="4" s="1"/>
  <c r="B88" i="4"/>
  <c r="K87" i="4"/>
  <c r="K87" i="2"/>
  <c r="F87" i="4" s="1"/>
  <c r="A87" i="4"/>
  <c r="B87" i="4"/>
  <c r="C87" i="4"/>
  <c r="D87" i="4"/>
  <c r="E87" i="4"/>
  <c r="E86" i="4"/>
  <c r="D86" i="4"/>
  <c r="C86" i="4"/>
  <c r="B86" i="4"/>
  <c r="A86" i="4"/>
  <c r="K86" i="4"/>
  <c r="K86" i="2"/>
  <c r="F86" i="4" s="1"/>
  <c r="E85" i="4"/>
  <c r="D85" i="4"/>
  <c r="C85" i="4"/>
  <c r="B85" i="4"/>
  <c r="A85" i="4"/>
  <c r="K85" i="4"/>
  <c r="K85" i="2"/>
  <c r="F85" i="4" s="1"/>
  <c r="K84" i="4"/>
  <c r="C84" i="4"/>
  <c r="B84" i="4"/>
  <c r="A84" i="4"/>
  <c r="K84" i="2"/>
  <c r="F84" i="4" s="1"/>
  <c r="D84" i="4"/>
  <c r="E84" i="4"/>
  <c r="K83" i="4"/>
  <c r="B83" i="4"/>
  <c r="A83" i="4"/>
  <c r="K83" i="2"/>
  <c r="F83" i="4"/>
  <c r="E83" i="4"/>
  <c r="D83" i="4"/>
  <c r="C83" i="4"/>
  <c r="K82" i="4"/>
  <c r="K82" i="2"/>
  <c r="F82" i="4"/>
  <c r="I9" i="3"/>
  <c r="J9" i="3" s="1"/>
  <c r="A82" i="4"/>
  <c r="B82" i="4"/>
  <c r="C82" i="4"/>
  <c r="D82" i="4"/>
  <c r="E82" i="4"/>
  <c r="K81" i="2"/>
  <c r="A81" i="4"/>
  <c r="B81" i="4"/>
  <c r="C81" i="4"/>
  <c r="D81" i="4"/>
  <c r="E81" i="4"/>
  <c r="F81" i="4"/>
  <c r="K81" i="4"/>
  <c r="K80" i="4"/>
  <c r="A80" i="4"/>
  <c r="C80" i="4"/>
  <c r="B80" i="4"/>
  <c r="D80" i="4"/>
  <c r="E80" i="4"/>
  <c r="K80" i="2"/>
  <c r="F80" i="4" s="1"/>
  <c r="B79" i="4"/>
  <c r="E79" i="4"/>
  <c r="D79" i="4"/>
  <c r="C79" i="4"/>
  <c r="A79" i="4"/>
  <c r="K79" i="4"/>
  <c r="K79" i="2"/>
  <c r="F79" i="4" s="1"/>
  <c r="A78" i="4"/>
  <c r="K78" i="4"/>
  <c r="D78" i="4"/>
  <c r="C78" i="4"/>
  <c r="E78" i="4"/>
  <c r="B78" i="4"/>
  <c r="K78" i="2"/>
  <c r="F78" i="4" s="1"/>
  <c r="E77" i="4"/>
  <c r="K77" i="4"/>
  <c r="A77" i="4"/>
  <c r="B77" i="4"/>
  <c r="C77" i="4"/>
  <c r="D77" i="4"/>
  <c r="K77" i="2"/>
  <c r="F77" i="4" s="1"/>
  <c r="K76" i="4"/>
  <c r="B76" i="4"/>
  <c r="A76" i="4"/>
  <c r="C76" i="4"/>
  <c r="D76" i="4"/>
  <c r="E76" i="4"/>
  <c r="K76" i="2"/>
  <c r="F76" i="4" s="1"/>
  <c r="K75" i="4"/>
  <c r="E75" i="4"/>
  <c r="D75" i="4"/>
  <c r="C75" i="4"/>
  <c r="B75" i="4"/>
  <c r="A75" i="4"/>
  <c r="K75" i="2"/>
  <c r="F75" i="4" s="1"/>
  <c r="B74" i="4"/>
  <c r="A74" i="4"/>
  <c r="K74" i="4"/>
  <c r="E74" i="4"/>
  <c r="D74" i="4"/>
  <c r="C74" i="4"/>
  <c r="K74" i="2"/>
  <c r="F74" i="4" s="1"/>
  <c r="A73" i="4"/>
  <c r="K73" i="4"/>
  <c r="B73" i="4"/>
  <c r="C73" i="4"/>
  <c r="D73" i="4"/>
  <c r="E73" i="4"/>
  <c r="K73" i="2"/>
  <c r="F73" i="4" s="1"/>
  <c r="D72" i="4"/>
  <c r="B72" i="4"/>
  <c r="A72" i="4"/>
  <c r="C72" i="4"/>
  <c r="K72" i="4"/>
  <c r="E72" i="4"/>
  <c r="K72" i="2"/>
  <c r="F72" i="4" s="1"/>
  <c r="K71" i="4"/>
  <c r="E71" i="4"/>
  <c r="D71" i="4"/>
  <c r="C71" i="4"/>
  <c r="B71" i="4"/>
  <c r="A71" i="4"/>
  <c r="K71" i="2"/>
  <c r="F71" i="4" s="1"/>
  <c r="E70" i="4"/>
  <c r="D70" i="4"/>
  <c r="C70" i="4"/>
  <c r="B70" i="4"/>
  <c r="A70" i="4"/>
  <c r="K70" i="2"/>
  <c r="K70" i="4"/>
  <c r="F70" i="4"/>
  <c r="K69" i="2"/>
  <c r="D69" i="4"/>
  <c r="A69" i="4"/>
  <c r="B69" i="4"/>
  <c r="C69" i="4"/>
  <c r="E69" i="4"/>
  <c r="F69" i="4"/>
  <c r="K69" i="4"/>
  <c r="D68" i="4"/>
  <c r="C68" i="4"/>
  <c r="B68" i="4"/>
  <c r="K68" i="2"/>
  <c r="K68" i="4"/>
  <c r="F68" i="4"/>
  <c r="E68" i="4"/>
  <c r="A68" i="4"/>
  <c r="K67" i="4"/>
  <c r="K67" i="2"/>
  <c r="F67" i="4" s="1"/>
  <c r="C67" i="4"/>
  <c r="A67" i="4"/>
  <c r="B67" i="4"/>
  <c r="D67" i="4"/>
  <c r="E67" i="4"/>
  <c r="K66" i="2"/>
  <c r="K66" i="4"/>
  <c r="F66" i="4"/>
  <c r="E66" i="4"/>
  <c r="D66" i="4"/>
  <c r="C66" i="4"/>
  <c r="B66" i="4"/>
  <c r="A66" i="4"/>
  <c r="K65" i="2"/>
  <c r="K65" i="4"/>
  <c r="C65" i="4"/>
  <c r="F65" i="4"/>
  <c r="E65" i="4"/>
  <c r="D65" i="4"/>
  <c r="B65" i="4"/>
  <c r="A65" i="4"/>
  <c r="K64" i="4"/>
  <c r="E64" i="4"/>
  <c r="D64" i="4"/>
  <c r="C64" i="4"/>
  <c r="B64" i="4"/>
  <c r="A64" i="4"/>
  <c r="K64" i="2"/>
  <c r="F64" i="4" s="1"/>
  <c r="C63" i="4"/>
  <c r="A63" i="4"/>
  <c r="B63" i="4"/>
  <c r="D63" i="4"/>
  <c r="E63" i="4"/>
  <c r="K63" i="4"/>
  <c r="K63" i="2"/>
  <c r="F63" i="4" s="1"/>
  <c r="A62" i="4"/>
  <c r="C62" i="4"/>
  <c r="D62" i="4"/>
  <c r="E62" i="4"/>
  <c r="K62" i="4"/>
  <c r="B62" i="4"/>
  <c r="I8" i="3"/>
  <c r="J8" i="3" s="1"/>
  <c r="K62" i="2"/>
  <c r="F62" i="4" s="1"/>
  <c r="A61" i="4"/>
  <c r="B61" i="4"/>
  <c r="C61" i="4"/>
  <c r="D61" i="4"/>
  <c r="E61" i="4"/>
  <c r="K61" i="4"/>
  <c r="K61" i="2"/>
  <c r="F61" i="4" s="1"/>
  <c r="B60" i="4"/>
  <c r="C60" i="4"/>
  <c r="D60" i="4"/>
  <c r="K60" i="4"/>
  <c r="E60" i="4"/>
  <c r="A60" i="4"/>
  <c r="K60" i="2"/>
  <c r="F60" i="4" s="1"/>
  <c r="E59" i="4"/>
  <c r="D59" i="4"/>
  <c r="C59" i="4"/>
  <c r="B59" i="4"/>
  <c r="A59" i="4"/>
  <c r="K59" i="4"/>
  <c r="K59" i="2"/>
  <c r="F59" i="4" s="1"/>
  <c r="C58" i="4"/>
  <c r="E58" i="4"/>
  <c r="D58" i="4"/>
  <c r="K58" i="2"/>
  <c r="B58" i="4"/>
  <c r="A58" i="4"/>
  <c r="F58" i="4"/>
  <c r="K58" i="4"/>
  <c r="A57" i="4"/>
  <c r="K57" i="2"/>
  <c r="K57" i="4"/>
  <c r="F57" i="4"/>
  <c r="E57" i="4"/>
  <c r="D57" i="4"/>
  <c r="C57" i="4"/>
  <c r="B57" i="4"/>
  <c r="E56" i="4"/>
  <c r="D56" i="4"/>
  <c r="C56" i="4"/>
  <c r="B56" i="4"/>
  <c r="K56" i="2"/>
  <c r="A56" i="4"/>
  <c r="K56" i="4"/>
  <c r="F56" i="4"/>
  <c r="E55" i="4"/>
  <c r="K55" i="4"/>
  <c r="K55" i="2"/>
  <c r="F55" i="4" s="1"/>
  <c r="D55" i="4"/>
  <c r="C55" i="4"/>
  <c r="B55" i="4"/>
  <c r="A55" i="4"/>
  <c r="D54" i="4"/>
  <c r="E54" i="4"/>
  <c r="K54" i="2"/>
  <c r="F54" i="4" s="1"/>
  <c r="A54" i="4"/>
  <c r="B54" i="4"/>
  <c r="C54" i="4"/>
  <c r="K54" i="4"/>
  <c r="K53" i="2"/>
  <c r="K53" i="4"/>
  <c r="F53" i="4"/>
  <c r="E53" i="4"/>
  <c r="D53" i="4"/>
  <c r="C53" i="4"/>
  <c r="B53" i="4"/>
  <c r="A53" i="4"/>
  <c r="A52" i="4"/>
  <c r="K52" i="2"/>
  <c r="K52" i="4"/>
  <c r="F52" i="4"/>
  <c r="E52" i="4"/>
  <c r="D52" i="4"/>
  <c r="C52" i="4"/>
  <c r="B52" i="4"/>
  <c r="D51" i="4"/>
  <c r="K51" i="4"/>
  <c r="A51" i="4"/>
  <c r="E51" i="4"/>
  <c r="K51" i="2"/>
  <c r="F51" i="4" s="1"/>
  <c r="B51" i="4"/>
  <c r="C51" i="4"/>
  <c r="K50" i="4"/>
  <c r="E50" i="4"/>
  <c r="D50" i="4"/>
  <c r="C50" i="4"/>
  <c r="B50" i="4"/>
  <c r="A50" i="4"/>
  <c r="K50" i="2"/>
  <c r="F50" i="4" s="1"/>
  <c r="A49" i="4"/>
  <c r="K49" i="2"/>
  <c r="K49" i="4"/>
  <c r="F49" i="4"/>
  <c r="E49" i="4"/>
  <c r="D49" i="4"/>
  <c r="C49" i="4"/>
  <c r="B49" i="4"/>
  <c r="E48" i="4"/>
  <c r="D48" i="4"/>
  <c r="K48" i="4"/>
  <c r="K48" i="2"/>
  <c r="F48" i="4" s="1"/>
  <c r="C48" i="4"/>
  <c r="B48" i="4"/>
  <c r="A48" i="4"/>
  <c r="K47" i="2"/>
  <c r="K47" i="4"/>
  <c r="F47" i="4"/>
  <c r="E47" i="4"/>
  <c r="D47" i="4"/>
  <c r="C47" i="4"/>
  <c r="B47" i="4"/>
  <c r="A47" i="4"/>
  <c r="A46" i="4"/>
  <c r="K46" i="2"/>
  <c r="C46" i="4"/>
  <c r="F46" i="4"/>
  <c r="E46" i="4"/>
  <c r="D46" i="4"/>
  <c r="B46" i="4"/>
  <c r="K46" i="4"/>
  <c r="E45" i="4"/>
  <c r="D45" i="4"/>
  <c r="C45" i="4"/>
  <c r="B45" i="4"/>
  <c r="A45" i="4"/>
  <c r="K45" i="2"/>
  <c r="F45" i="4" s="1"/>
  <c r="K45" i="4"/>
  <c r="D44" i="4"/>
  <c r="E44" i="4"/>
  <c r="K44" i="4"/>
  <c r="C44" i="4"/>
  <c r="B44" i="4"/>
  <c r="A44" i="4"/>
  <c r="K44" i="2"/>
  <c r="F44" i="4" s="1"/>
  <c r="E43" i="4"/>
  <c r="D43" i="4"/>
  <c r="C43" i="4"/>
  <c r="B43" i="4"/>
  <c r="A43" i="4"/>
  <c r="K43" i="2"/>
  <c r="K43" i="4"/>
  <c r="F43" i="4"/>
  <c r="K42" i="4"/>
  <c r="E42" i="4"/>
  <c r="D42" i="4"/>
  <c r="C42" i="4"/>
  <c r="B42" i="4"/>
  <c r="A42" i="4"/>
  <c r="I7" i="3"/>
  <c r="J7" i="3" s="1"/>
  <c r="K42" i="2"/>
  <c r="F42" i="4" s="1"/>
  <c r="K41" i="4"/>
  <c r="E41" i="4"/>
  <c r="D41" i="4"/>
  <c r="C41" i="4"/>
  <c r="B41" i="4"/>
  <c r="A41" i="4"/>
  <c r="K41" i="2"/>
  <c r="F41" i="4" s="1"/>
  <c r="K40" i="4"/>
  <c r="A40" i="4"/>
  <c r="B40" i="4"/>
  <c r="C40" i="4"/>
  <c r="D40" i="4"/>
  <c r="E40" i="4"/>
  <c r="K40" i="2"/>
  <c r="F40" i="4" s="1"/>
  <c r="K39" i="4"/>
  <c r="E39" i="4"/>
  <c r="D39" i="4"/>
  <c r="C39" i="4"/>
  <c r="B39" i="4"/>
  <c r="A39" i="4"/>
  <c r="K39" i="2"/>
  <c r="F39" i="4" s="1"/>
  <c r="C38" i="4"/>
  <c r="B38" i="4"/>
  <c r="A38" i="4"/>
  <c r="K38" i="4"/>
  <c r="D38" i="4"/>
  <c r="K38" i="2"/>
  <c r="E38" i="4"/>
  <c r="F38" i="4"/>
  <c r="K37" i="4"/>
  <c r="E37" i="4"/>
  <c r="D37" i="4"/>
  <c r="C37" i="4"/>
  <c r="B37" i="4"/>
  <c r="A37" i="4"/>
  <c r="K37" i="2"/>
  <c r="F37" i="4" s="1"/>
  <c r="A36" i="4"/>
  <c r="K36" i="4"/>
  <c r="K36" i="2"/>
  <c r="E36" i="4"/>
  <c r="D36" i="4"/>
  <c r="C36" i="4"/>
  <c r="B36" i="4"/>
  <c r="F36" i="4"/>
  <c r="K35" i="4"/>
  <c r="D35" i="4"/>
  <c r="C35" i="4"/>
  <c r="A35" i="4"/>
  <c r="K35" i="2"/>
  <c r="F35" i="4" s="1"/>
  <c r="B35" i="4"/>
  <c r="E35" i="4"/>
  <c r="E34" i="4"/>
  <c r="D34" i="4"/>
  <c r="C34" i="4"/>
  <c r="B34" i="4"/>
  <c r="A34" i="4"/>
  <c r="K34" i="4"/>
  <c r="K34" i="2"/>
  <c r="F34" i="4" s="1"/>
  <c r="E33" i="4"/>
  <c r="D33" i="4"/>
  <c r="C33" i="4"/>
  <c r="B33" i="4"/>
  <c r="A33" i="4"/>
  <c r="K33" i="2"/>
  <c r="F33" i="4" s="1"/>
  <c r="K33" i="4"/>
  <c r="K32" i="4"/>
  <c r="K32" i="2"/>
  <c r="F32" i="4"/>
  <c r="E32" i="4"/>
  <c r="D32" i="4"/>
  <c r="C32" i="4"/>
  <c r="B32" i="4"/>
  <c r="A32" i="4"/>
  <c r="E31" i="4"/>
  <c r="D31" i="4"/>
  <c r="C31" i="4"/>
  <c r="B31" i="4"/>
  <c r="A31" i="4"/>
  <c r="K31" i="4"/>
  <c r="K31" i="2"/>
  <c r="F31" i="4" s="1"/>
  <c r="E30" i="4"/>
  <c r="D30" i="4"/>
  <c r="B30" i="4"/>
  <c r="A30" i="4"/>
  <c r="K30" i="2"/>
  <c r="F30" i="4" s="1"/>
  <c r="C30" i="4"/>
  <c r="K30" i="4"/>
  <c r="K29" i="4"/>
  <c r="K29" i="2"/>
  <c r="F29" i="4" s="1"/>
  <c r="A29" i="4"/>
  <c r="B29" i="4"/>
  <c r="C29" i="4"/>
  <c r="D29" i="4"/>
  <c r="E29" i="4"/>
  <c r="K28" i="4"/>
  <c r="B28" i="4"/>
  <c r="K28" i="2"/>
  <c r="F28" i="4" s="1"/>
  <c r="A28" i="4"/>
  <c r="C28" i="4"/>
  <c r="D28" i="4"/>
  <c r="E28" i="4"/>
  <c r="E27" i="4"/>
  <c r="D27" i="4"/>
  <c r="C27" i="4"/>
  <c r="B27" i="4"/>
  <c r="A27" i="4"/>
  <c r="K27" i="2"/>
  <c r="F27" i="4" s="1"/>
  <c r="K27" i="4"/>
  <c r="K26" i="4"/>
  <c r="C26" i="4"/>
  <c r="B26" i="4"/>
  <c r="A26" i="4"/>
  <c r="K26" i="2"/>
  <c r="F26" i="4"/>
  <c r="E26" i="4"/>
  <c r="D26" i="4"/>
  <c r="E25" i="4"/>
  <c r="D25" i="4"/>
  <c r="C25" i="4"/>
  <c r="B25" i="4"/>
  <c r="A25" i="4"/>
  <c r="K25" i="2"/>
  <c r="F25" i="4" s="1"/>
  <c r="K25" i="4"/>
  <c r="K24" i="4"/>
  <c r="K24" i="2"/>
  <c r="F24" i="4" s="1"/>
  <c r="E24" i="4"/>
  <c r="D24" i="4"/>
  <c r="C24" i="4"/>
  <c r="B24" i="4"/>
  <c r="A24" i="4"/>
  <c r="K23" i="4"/>
  <c r="E23" i="4"/>
  <c r="D23" i="4"/>
  <c r="C23" i="4"/>
  <c r="B23" i="4"/>
  <c r="A23" i="4"/>
  <c r="K23" i="2"/>
  <c r="F23" i="4" s="1"/>
  <c r="I6" i="3"/>
  <c r="J6" i="3" s="1"/>
  <c r="E22" i="4"/>
  <c r="K22" i="2"/>
  <c r="F22" i="4" s="1"/>
  <c r="D22" i="4"/>
  <c r="C22" i="4"/>
  <c r="B22" i="4"/>
  <c r="A22" i="4"/>
  <c r="K22" i="4"/>
  <c r="E21" i="4"/>
  <c r="D21" i="4"/>
  <c r="C21" i="4"/>
  <c r="B21" i="4"/>
  <c r="A21" i="4"/>
  <c r="K21" i="2"/>
  <c r="K21" i="4"/>
  <c r="F21" i="4"/>
  <c r="K20" i="4"/>
  <c r="E20" i="4"/>
  <c r="D20" i="4"/>
  <c r="C20" i="4"/>
  <c r="B20" i="4"/>
  <c r="A20" i="4"/>
  <c r="K20" i="2"/>
  <c r="F20" i="4" s="1"/>
  <c r="D19" i="4"/>
  <c r="C19" i="4"/>
  <c r="B19" i="4"/>
  <c r="A19" i="4"/>
  <c r="K19" i="2"/>
  <c r="F19" i="4" s="1"/>
  <c r="K19" i="4"/>
  <c r="E19" i="4"/>
  <c r="E18" i="4"/>
  <c r="D18" i="4"/>
  <c r="C18" i="4"/>
  <c r="K18" i="4"/>
  <c r="A18" i="4"/>
  <c r="K18" i="2"/>
  <c r="F18" i="4" s="1"/>
  <c r="B18" i="4"/>
  <c r="A17" i="4"/>
  <c r="K17" i="4"/>
  <c r="D17" i="4"/>
  <c r="C17" i="4"/>
  <c r="B17" i="4"/>
  <c r="E17" i="4"/>
  <c r="K17" i="2"/>
  <c r="F17" i="4" s="1"/>
  <c r="A16" i="4"/>
  <c r="K16" i="4"/>
  <c r="K16" i="2"/>
  <c r="B16" i="4"/>
  <c r="F16" i="4"/>
  <c r="E16" i="4"/>
  <c r="D16" i="4"/>
  <c r="C16" i="4"/>
  <c r="K15" i="4"/>
  <c r="B15" i="4"/>
  <c r="A15" i="4"/>
  <c r="K15" i="2"/>
  <c r="C15" i="4"/>
  <c r="E15" i="4"/>
  <c r="F15" i="4"/>
  <c r="D15" i="4"/>
  <c r="E14" i="4"/>
  <c r="D14" i="4"/>
  <c r="C14" i="4"/>
  <c r="A14" i="4"/>
  <c r="B14" i="4"/>
  <c r="K14" i="2"/>
  <c r="F14" i="4" s="1"/>
  <c r="K14" i="4"/>
  <c r="K13" i="4"/>
  <c r="B13" i="4"/>
  <c r="K13" i="2"/>
  <c r="F13" i="4"/>
  <c r="E13" i="4"/>
  <c r="D13" i="4"/>
  <c r="C13" i="4"/>
  <c r="A13" i="4"/>
  <c r="K12" i="2"/>
  <c r="K12" i="4"/>
  <c r="F12" i="4"/>
  <c r="E12" i="4"/>
  <c r="D12" i="4"/>
  <c r="C12" i="4"/>
  <c r="B12" i="4"/>
  <c r="A12" i="4"/>
  <c r="B11" i="4"/>
  <c r="C11" i="4"/>
  <c r="D11" i="4"/>
  <c r="A11" i="4"/>
  <c r="E11" i="4"/>
  <c r="K11" i="4"/>
  <c r="K11" i="2"/>
  <c r="F11" i="4" s="1"/>
  <c r="B10" i="4"/>
  <c r="C10" i="4"/>
  <c r="D10" i="4"/>
  <c r="E10" i="4"/>
  <c r="K10" i="4"/>
  <c r="A10" i="4"/>
  <c r="K10" i="2"/>
  <c r="F10" i="4" s="1"/>
  <c r="B9" i="4"/>
  <c r="K9" i="4"/>
  <c r="E9" i="4"/>
  <c r="D9" i="4"/>
  <c r="A9" i="4"/>
  <c r="C9" i="4"/>
  <c r="K9" i="2"/>
  <c r="F9" i="4" s="1"/>
  <c r="A8" i="4"/>
  <c r="B8" i="4"/>
  <c r="C8" i="4"/>
  <c r="D8" i="4"/>
  <c r="E8" i="4"/>
  <c r="K8" i="4"/>
  <c r="K8" i="2"/>
  <c r="F8" i="4" s="1"/>
  <c r="K7" i="4"/>
  <c r="E7" i="4"/>
  <c r="A7" i="4"/>
  <c r="B7" i="4"/>
  <c r="C7" i="4"/>
  <c r="D7" i="4"/>
  <c r="K7" i="2"/>
  <c r="F7" i="4" s="1"/>
  <c r="K6" i="4"/>
  <c r="A6" i="4"/>
  <c r="B6" i="4"/>
  <c r="C6" i="4"/>
  <c r="D6" i="4"/>
  <c r="E6" i="4"/>
  <c r="K6" i="2"/>
  <c r="F6" i="4" s="1"/>
  <c r="C5" i="4"/>
  <c r="K5" i="2"/>
  <c r="K5" i="4"/>
  <c r="B5" i="4"/>
  <c r="F5" i="4"/>
  <c r="A5" i="4"/>
  <c r="E5" i="4"/>
  <c r="D5" i="4"/>
  <c r="A4" i="4"/>
  <c r="K4" i="4"/>
  <c r="E4" i="4"/>
  <c r="D4" i="4"/>
  <c r="C4" i="4"/>
  <c r="B4" i="4"/>
  <c r="K4" i="2"/>
  <c r="F4" i="4" s="1"/>
  <c r="K3" i="4"/>
  <c r="D3" i="4"/>
  <c r="C3" i="4"/>
  <c r="B3" i="4"/>
  <c r="A3" i="4"/>
  <c r="E3" i="4"/>
  <c r="K3" i="2"/>
  <c r="F3" i="4" s="1"/>
  <c r="K2" i="4"/>
  <c r="A2" i="4"/>
  <c r="B2" i="4"/>
  <c r="C2" i="4"/>
  <c r="D2" i="4"/>
  <c r="E2" i="4"/>
  <c r="I5" i="3"/>
  <c r="J5" i="3" s="1"/>
  <c r="K2" i="2"/>
  <c r="F2" i="4" s="1"/>
  <c r="F226" i="4" l="1"/>
  <c r="H16" i="3"/>
  <c r="L241" i="2"/>
  <c r="G241" i="4" s="1"/>
  <c r="M241" i="2"/>
  <c r="H241" i="4" s="1"/>
  <c r="P241" i="2"/>
  <c r="I241" i="4" s="1"/>
  <c r="Q241" i="2"/>
  <c r="J241" i="4" s="1"/>
  <c r="L240" i="2"/>
  <c r="G240" i="4" s="1"/>
  <c r="M240" i="2"/>
  <c r="H240" i="4" s="1"/>
  <c r="P240" i="2"/>
  <c r="I240" i="4" s="1"/>
  <c r="Q240" i="2"/>
  <c r="J240" i="4" s="1"/>
  <c r="P239" i="2"/>
  <c r="I239" i="4" s="1"/>
  <c r="Q239" i="2"/>
  <c r="J239" i="4" s="1"/>
  <c r="L239" i="2"/>
  <c r="G239" i="4" s="1"/>
  <c r="M239" i="2"/>
  <c r="H239" i="4" s="1"/>
  <c r="L238" i="2"/>
  <c r="G238" i="4" s="1"/>
  <c r="M238" i="2"/>
  <c r="H238" i="4" s="1"/>
  <c r="P238" i="2"/>
  <c r="I238" i="4" s="1"/>
  <c r="Q238" i="2"/>
  <c r="J238" i="4" s="1"/>
  <c r="L237" i="2"/>
  <c r="G237" i="4" s="1"/>
  <c r="M237" i="2"/>
  <c r="H237" i="4" s="1"/>
  <c r="P237" i="2"/>
  <c r="I237" i="4" s="1"/>
  <c r="Q237" i="2"/>
  <c r="J237" i="4" s="1"/>
  <c r="L236" i="2"/>
  <c r="G236" i="4" s="1"/>
  <c r="M236" i="2"/>
  <c r="H236" i="4" s="1"/>
  <c r="P236" i="2"/>
  <c r="I236" i="4" s="1"/>
  <c r="Q236" i="2"/>
  <c r="J236" i="4" s="1"/>
  <c r="L235" i="2"/>
  <c r="G235" i="4" s="1"/>
  <c r="P235" i="2"/>
  <c r="I235" i="4" s="1"/>
  <c r="M235" i="2"/>
  <c r="H235" i="4" s="1"/>
  <c r="Q235" i="2"/>
  <c r="J235" i="4" s="1"/>
  <c r="P234" i="2"/>
  <c r="I234" i="4" s="1"/>
  <c r="L234" i="2"/>
  <c r="G234" i="4" s="1"/>
  <c r="M234" i="2"/>
  <c r="H234" i="4" s="1"/>
  <c r="Q234" i="2"/>
  <c r="J234" i="4" s="1"/>
  <c r="P233" i="2"/>
  <c r="I233" i="4" s="1"/>
  <c r="Q233" i="2"/>
  <c r="J233" i="4" s="1"/>
  <c r="L233" i="2"/>
  <c r="G233" i="4" s="1"/>
  <c r="M233" i="2"/>
  <c r="H233" i="4" s="1"/>
  <c r="L232" i="2"/>
  <c r="G232" i="4" s="1"/>
  <c r="M232" i="2"/>
  <c r="H232" i="4" s="1"/>
  <c r="P232" i="2"/>
  <c r="I232" i="4" s="1"/>
  <c r="Q232" i="2"/>
  <c r="J232" i="4" s="1"/>
  <c r="M231" i="2"/>
  <c r="H231" i="4" s="1"/>
  <c r="P231" i="2"/>
  <c r="I231" i="4" s="1"/>
  <c r="Q231" i="2"/>
  <c r="J231" i="4" s="1"/>
  <c r="L231" i="2"/>
  <c r="M230" i="2"/>
  <c r="H230" i="4" s="1"/>
  <c r="L230" i="2"/>
  <c r="G230" i="4" s="1"/>
  <c r="P230" i="2"/>
  <c r="I230" i="4" s="1"/>
  <c r="Q230" i="2"/>
  <c r="J230" i="4" s="1"/>
  <c r="M229" i="2"/>
  <c r="H229" i="4" s="1"/>
  <c r="L229" i="2"/>
  <c r="G229" i="4" s="1"/>
  <c r="P229" i="2"/>
  <c r="I229" i="4" s="1"/>
  <c r="Q229" i="2"/>
  <c r="J229" i="4" s="1"/>
  <c r="M228" i="2"/>
  <c r="H228" i="4" s="1"/>
  <c r="Q228" i="2"/>
  <c r="J228" i="4" s="1"/>
  <c r="L228" i="2"/>
  <c r="G228" i="4" s="1"/>
  <c r="P228" i="2"/>
  <c r="I228" i="4" s="1"/>
  <c r="L227" i="2"/>
  <c r="M227" i="2"/>
  <c r="H227" i="4" s="1"/>
  <c r="P227" i="2"/>
  <c r="I227" i="4" s="1"/>
  <c r="Q227" i="2"/>
  <c r="J227" i="4" s="1"/>
  <c r="P226" i="2"/>
  <c r="I226" i="4" s="1"/>
  <c r="Q226" i="2"/>
  <c r="J226" i="4" s="1"/>
  <c r="L226" i="2"/>
  <c r="G226" i="4" s="1"/>
  <c r="M226" i="2"/>
  <c r="H226" i="4" s="1"/>
  <c r="M225" i="2"/>
  <c r="H225" i="4" s="1"/>
  <c r="P225" i="2"/>
  <c r="I225" i="4" s="1"/>
  <c r="Q225" i="2"/>
  <c r="J225" i="4" s="1"/>
  <c r="L225" i="2"/>
  <c r="G225" i="4" s="1"/>
  <c r="P224" i="2"/>
  <c r="I224" i="4" s="1"/>
  <c r="L224" i="2"/>
  <c r="G224" i="4" s="1"/>
  <c r="M224" i="2"/>
  <c r="H224" i="4" s="1"/>
  <c r="Q224" i="2"/>
  <c r="J224" i="4" s="1"/>
  <c r="M223" i="2"/>
  <c r="P223" i="2"/>
  <c r="Q223" i="2"/>
  <c r="J223" i="4" s="1"/>
  <c r="L223" i="2"/>
  <c r="G223" i="4" s="1"/>
  <c r="L221" i="2"/>
  <c r="G221" i="4" s="1"/>
  <c r="M221" i="2"/>
  <c r="H221" i="4" s="1"/>
  <c r="P221" i="2"/>
  <c r="I221" i="4" s="1"/>
  <c r="Q221" i="2"/>
  <c r="J221" i="4" s="1"/>
  <c r="L220" i="2"/>
  <c r="G220" i="4" s="1"/>
  <c r="M220" i="2"/>
  <c r="H220" i="4" s="1"/>
  <c r="P220" i="2"/>
  <c r="I220" i="4" s="1"/>
  <c r="Q220" i="2"/>
  <c r="J220" i="4" s="1"/>
  <c r="L219" i="2"/>
  <c r="G219" i="4" s="1"/>
  <c r="M219" i="2"/>
  <c r="H219" i="4" s="1"/>
  <c r="P219" i="2"/>
  <c r="I219" i="4" s="1"/>
  <c r="Q219" i="2"/>
  <c r="J219" i="4" s="1"/>
  <c r="L218" i="2"/>
  <c r="G218" i="4" s="1"/>
  <c r="M218" i="2"/>
  <c r="H218" i="4" s="1"/>
  <c r="P218" i="2"/>
  <c r="I218" i="4" s="1"/>
  <c r="Q218" i="2"/>
  <c r="J218" i="4" s="1"/>
  <c r="L217" i="2"/>
  <c r="G217" i="4" s="1"/>
  <c r="M217" i="2"/>
  <c r="H217" i="4" s="1"/>
  <c r="P217" i="2"/>
  <c r="I217" i="4" s="1"/>
  <c r="Q217" i="2"/>
  <c r="J217" i="4" s="1"/>
  <c r="L216" i="2"/>
  <c r="G216" i="4" s="1"/>
  <c r="M216" i="2"/>
  <c r="H216" i="4" s="1"/>
  <c r="P216" i="2"/>
  <c r="I216" i="4" s="1"/>
  <c r="Q216" i="2"/>
  <c r="J216" i="4" s="1"/>
  <c r="L215" i="2"/>
  <c r="G215" i="4" s="1"/>
  <c r="M215" i="2"/>
  <c r="H215" i="4" s="1"/>
  <c r="P215" i="2"/>
  <c r="I215" i="4" s="1"/>
  <c r="Q215" i="2"/>
  <c r="J215" i="4" s="1"/>
  <c r="L214" i="2"/>
  <c r="G214" i="4" s="1"/>
  <c r="M214" i="2"/>
  <c r="H214" i="4" s="1"/>
  <c r="P214" i="2"/>
  <c r="I214" i="4" s="1"/>
  <c r="Q214" i="2"/>
  <c r="J214" i="4" s="1"/>
  <c r="L213" i="2"/>
  <c r="G213" i="4" s="1"/>
  <c r="M213" i="2"/>
  <c r="H213" i="4" s="1"/>
  <c r="P213" i="2"/>
  <c r="I213" i="4" s="1"/>
  <c r="Q213" i="2"/>
  <c r="J213" i="4" s="1"/>
  <c r="L212" i="2"/>
  <c r="G212" i="4" s="1"/>
  <c r="M212" i="2"/>
  <c r="H212" i="4" s="1"/>
  <c r="P212" i="2"/>
  <c r="I212" i="4" s="1"/>
  <c r="Q212" i="2"/>
  <c r="J212" i="4" s="1"/>
  <c r="L211" i="2"/>
  <c r="G211" i="4" s="1"/>
  <c r="M211" i="2"/>
  <c r="H211" i="4" s="1"/>
  <c r="P211" i="2"/>
  <c r="I211" i="4" s="1"/>
  <c r="Q211" i="2"/>
  <c r="J211" i="4" s="1"/>
  <c r="L210" i="2"/>
  <c r="G210" i="4" s="1"/>
  <c r="M210" i="2"/>
  <c r="H210" i="4" s="1"/>
  <c r="P210" i="2"/>
  <c r="I210" i="4" s="1"/>
  <c r="Q210" i="2"/>
  <c r="J210" i="4" s="1"/>
  <c r="L209" i="2"/>
  <c r="G209" i="4" s="1"/>
  <c r="M209" i="2"/>
  <c r="H209" i="4" s="1"/>
  <c r="P209" i="2"/>
  <c r="I209" i="4" s="1"/>
  <c r="Q209" i="2"/>
  <c r="J209" i="4" s="1"/>
  <c r="L208" i="2"/>
  <c r="G208" i="4" s="1"/>
  <c r="M208" i="2"/>
  <c r="H208" i="4" s="1"/>
  <c r="P208" i="2"/>
  <c r="I208" i="4" s="1"/>
  <c r="Q208" i="2"/>
  <c r="J208" i="4" s="1"/>
  <c r="L207" i="2"/>
  <c r="G207" i="4" s="1"/>
  <c r="M207" i="2"/>
  <c r="H207" i="4" s="1"/>
  <c r="P207" i="2"/>
  <c r="I207" i="4" s="1"/>
  <c r="Q207" i="2"/>
  <c r="J207" i="4" s="1"/>
  <c r="L206" i="2"/>
  <c r="G206" i="4" s="1"/>
  <c r="M206" i="2"/>
  <c r="H206" i="4" s="1"/>
  <c r="P206" i="2"/>
  <c r="I206" i="4" s="1"/>
  <c r="Q206" i="2"/>
  <c r="J206" i="4" s="1"/>
  <c r="L205" i="2"/>
  <c r="G205" i="4" s="1"/>
  <c r="M205" i="2"/>
  <c r="H205" i="4" s="1"/>
  <c r="P205" i="2"/>
  <c r="I205" i="4" s="1"/>
  <c r="Q205" i="2"/>
  <c r="J205" i="4" s="1"/>
  <c r="L204" i="2"/>
  <c r="G204" i="4" s="1"/>
  <c r="M204" i="2"/>
  <c r="H204" i="4" s="1"/>
  <c r="P204" i="2"/>
  <c r="I204" i="4" s="1"/>
  <c r="Q204" i="2"/>
  <c r="J204" i="4" s="1"/>
  <c r="M203" i="2"/>
  <c r="H203" i="4" s="1"/>
  <c r="Q203" i="2"/>
  <c r="J203" i="4" s="1"/>
  <c r="L203" i="2"/>
  <c r="G203" i="4" s="1"/>
  <c r="P203" i="2"/>
  <c r="I203" i="4" s="1"/>
  <c r="M202" i="2"/>
  <c r="H202" i="4" s="1"/>
  <c r="P202" i="2"/>
  <c r="I202" i="4" s="1"/>
  <c r="Q202" i="2"/>
  <c r="J202" i="4" s="1"/>
  <c r="L202" i="2"/>
  <c r="G202" i="4" s="1"/>
  <c r="H15" i="3"/>
  <c r="M201" i="2"/>
  <c r="H201" i="4" s="1"/>
  <c r="P201" i="2"/>
  <c r="I201" i="4" s="1"/>
  <c r="Q201" i="2"/>
  <c r="J201" i="4" s="1"/>
  <c r="L201" i="2"/>
  <c r="G201" i="4" s="1"/>
  <c r="M200" i="2"/>
  <c r="H200" i="4" s="1"/>
  <c r="L200" i="2"/>
  <c r="G200" i="4" s="1"/>
  <c r="P200" i="2"/>
  <c r="I200" i="4" s="1"/>
  <c r="Q200" i="2"/>
  <c r="J200" i="4" s="1"/>
  <c r="M199" i="2"/>
  <c r="H199" i="4" s="1"/>
  <c r="L199" i="2"/>
  <c r="G199" i="4" s="1"/>
  <c r="P199" i="2"/>
  <c r="I199" i="4" s="1"/>
  <c r="Q199" i="2"/>
  <c r="J199" i="4" s="1"/>
  <c r="P198" i="2"/>
  <c r="I198" i="4" s="1"/>
  <c r="L198" i="2"/>
  <c r="G198" i="4" s="1"/>
  <c r="M198" i="2"/>
  <c r="H198" i="4" s="1"/>
  <c r="Q198" i="2"/>
  <c r="J198" i="4" s="1"/>
  <c r="M197" i="2"/>
  <c r="H197" i="4" s="1"/>
  <c r="L197" i="2"/>
  <c r="G197" i="4" s="1"/>
  <c r="P197" i="2"/>
  <c r="I197" i="4" s="1"/>
  <c r="Q197" i="2"/>
  <c r="J197" i="4" s="1"/>
  <c r="L196" i="2"/>
  <c r="G196" i="4" s="1"/>
  <c r="P196" i="2"/>
  <c r="I196" i="4" s="1"/>
  <c r="Q196" i="2"/>
  <c r="J196" i="4" s="1"/>
  <c r="M196" i="2"/>
  <c r="H196" i="4" s="1"/>
  <c r="M195" i="2"/>
  <c r="H195" i="4" s="1"/>
  <c r="L195" i="2"/>
  <c r="G195" i="4" s="1"/>
  <c r="P195" i="2"/>
  <c r="I195" i="4" s="1"/>
  <c r="Q195" i="2"/>
  <c r="J195" i="4" s="1"/>
  <c r="P194" i="2"/>
  <c r="I194" i="4" s="1"/>
  <c r="Q194" i="2"/>
  <c r="J194" i="4" s="1"/>
  <c r="L194" i="2"/>
  <c r="G194" i="4" s="1"/>
  <c r="M194" i="2"/>
  <c r="H194" i="4" s="1"/>
  <c r="M193" i="2"/>
  <c r="H193" i="4" s="1"/>
  <c r="L193" i="2"/>
  <c r="G193" i="4" s="1"/>
  <c r="P193" i="2"/>
  <c r="I193" i="4" s="1"/>
  <c r="Q193" i="2"/>
  <c r="J193" i="4" s="1"/>
  <c r="M192" i="2"/>
  <c r="H192" i="4" s="1"/>
  <c r="P192" i="2"/>
  <c r="I192" i="4" s="1"/>
  <c r="Q192" i="2"/>
  <c r="J192" i="4" s="1"/>
  <c r="L192" i="2"/>
  <c r="G192" i="4" s="1"/>
  <c r="L191" i="2"/>
  <c r="G191" i="4" s="1"/>
  <c r="M191" i="2"/>
  <c r="H191" i="4" s="1"/>
  <c r="P191" i="2"/>
  <c r="I191" i="4" s="1"/>
  <c r="Q191" i="2"/>
  <c r="J191" i="4" s="1"/>
  <c r="L190" i="2"/>
  <c r="G190" i="4" s="1"/>
  <c r="M190" i="2"/>
  <c r="H190" i="4" s="1"/>
  <c r="P190" i="2"/>
  <c r="I190" i="4" s="1"/>
  <c r="Q190" i="2"/>
  <c r="J190" i="4" s="1"/>
  <c r="M189" i="2"/>
  <c r="H189" i="4" s="1"/>
  <c r="P189" i="2"/>
  <c r="I189" i="4" s="1"/>
  <c r="L189" i="2"/>
  <c r="G189" i="4" s="1"/>
  <c r="Q189" i="2"/>
  <c r="J189" i="4" s="1"/>
  <c r="M188" i="2"/>
  <c r="H188" i="4" s="1"/>
  <c r="P188" i="2"/>
  <c r="I188" i="4" s="1"/>
  <c r="Q188" i="2"/>
  <c r="J188" i="4" s="1"/>
  <c r="L188" i="2"/>
  <c r="G188" i="4" s="1"/>
  <c r="M187" i="2"/>
  <c r="H187" i="4" s="1"/>
  <c r="P187" i="2"/>
  <c r="I187" i="4" s="1"/>
  <c r="Q187" i="2"/>
  <c r="J187" i="4" s="1"/>
  <c r="L187" i="2"/>
  <c r="G187" i="4" s="1"/>
  <c r="L186" i="2"/>
  <c r="G186" i="4" s="1"/>
  <c r="M186" i="2"/>
  <c r="H186" i="4" s="1"/>
  <c r="P186" i="2"/>
  <c r="I186" i="4" s="1"/>
  <c r="Q186" i="2"/>
  <c r="J186" i="4" s="1"/>
  <c r="M185" i="2"/>
  <c r="H185" i="4" s="1"/>
  <c r="P185" i="2"/>
  <c r="I185" i="4" s="1"/>
  <c r="Q185" i="2"/>
  <c r="J185" i="4" s="1"/>
  <c r="L185" i="2"/>
  <c r="G185" i="4" s="1"/>
  <c r="M184" i="2"/>
  <c r="H184" i="4" s="1"/>
  <c r="L184" i="2"/>
  <c r="G184" i="4" s="1"/>
  <c r="P184" i="2"/>
  <c r="I184" i="4" s="1"/>
  <c r="Q184" i="2"/>
  <c r="J184" i="4" s="1"/>
  <c r="L183" i="2"/>
  <c r="G183" i="4" s="1"/>
  <c r="M183" i="2"/>
  <c r="H183" i="4" s="1"/>
  <c r="P183" i="2"/>
  <c r="I183" i="4" s="1"/>
  <c r="Q183" i="2"/>
  <c r="J183" i="4" s="1"/>
  <c r="M182" i="2"/>
  <c r="H14" i="3"/>
  <c r="L182" i="2"/>
  <c r="G182" i="4" s="1"/>
  <c r="P182" i="2"/>
  <c r="Q182" i="2"/>
  <c r="J182" i="4" s="1"/>
  <c r="M181" i="2"/>
  <c r="H181" i="4" s="1"/>
  <c r="L181" i="2"/>
  <c r="G181" i="4" s="1"/>
  <c r="P181" i="2"/>
  <c r="I181" i="4" s="1"/>
  <c r="Q181" i="2"/>
  <c r="J181" i="4" s="1"/>
  <c r="P180" i="2"/>
  <c r="I180" i="4" s="1"/>
  <c r="L180" i="2"/>
  <c r="G180" i="4" s="1"/>
  <c r="M180" i="2"/>
  <c r="H180" i="4" s="1"/>
  <c r="Q180" i="2"/>
  <c r="J180" i="4" s="1"/>
  <c r="L179" i="2"/>
  <c r="G179" i="4" s="1"/>
  <c r="M179" i="2"/>
  <c r="H179" i="4" s="1"/>
  <c r="P179" i="2"/>
  <c r="I179" i="4" s="1"/>
  <c r="Q179" i="2"/>
  <c r="J179" i="4" s="1"/>
  <c r="L178" i="2"/>
  <c r="G178" i="4" s="1"/>
  <c r="M178" i="2"/>
  <c r="H178" i="4" s="1"/>
  <c r="P178" i="2"/>
  <c r="I178" i="4" s="1"/>
  <c r="Q178" i="2"/>
  <c r="J178" i="4" s="1"/>
  <c r="L177" i="2"/>
  <c r="G177" i="4" s="1"/>
  <c r="M177" i="2"/>
  <c r="H177" i="4" s="1"/>
  <c r="P177" i="2"/>
  <c r="I177" i="4" s="1"/>
  <c r="Q177" i="2"/>
  <c r="J177" i="4" s="1"/>
  <c r="L176" i="2"/>
  <c r="G176" i="4" s="1"/>
  <c r="M176" i="2"/>
  <c r="H176" i="4" s="1"/>
  <c r="P176" i="2"/>
  <c r="I176" i="4" s="1"/>
  <c r="Q176" i="2"/>
  <c r="J176" i="4" s="1"/>
  <c r="L175" i="2"/>
  <c r="G175" i="4" s="1"/>
  <c r="M175" i="2"/>
  <c r="H175" i="4" s="1"/>
  <c r="P175" i="2"/>
  <c r="I175" i="4" s="1"/>
  <c r="Q175" i="2"/>
  <c r="J175" i="4" s="1"/>
  <c r="L174" i="2"/>
  <c r="G174" i="4" s="1"/>
  <c r="M174" i="2"/>
  <c r="H174" i="4" s="1"/>
  <c r="P174" i="2"/>
  <c r="I174" i="4" s="1"/>
  <c r="Q174" i="2"/>
  <c r="J174" i="4" s="1"/>
  <c r="M173" i="2"/>
  <c r="H173" i="4" s="1"/>
  <c r="Q173" i="2"/>
  <c r="J173" i="4" s="1"/>
  <c r="L173" i="2"/>
  <c r="G173" i="4" s="1"/>
  <c r="P173" i="2"/>
  <c r="I173" i="4" s="1"/>
  <c r="M172" i="2"/>
  <c r="H172" i="4" s="1"/>
  <c r="L172" i="2"/>
  <c r="G172" i="4" s="1"/>
  <c r="P172" i="2"/>
  <c r="I172" i="4" s="1"/>
  <c r="Q172" i="2"/>
  <c r="J172" i="4" s="1"/>
  <c r="M171" i="2"/>
  <c r="H171" i="4" s="1"/>
  <c r="Q171" i="2"/>
  <c r="J171" i="4" s="1"/>
  <c r="L171" i="2"/>
  <c r="G171" i="4" s="1"/>
  <c r="P171" i="2"/>
  <c r="I171" i="4" s="1"/>
  <c r="L170" i="2"/>
  <c r="G170" i="4" s="1"/>
  <c r="M170" i="2"/>
  <c r="H170" i="4" s="1"/>
  <c r="P170" i="2"/>
  <c r="I170" i="4" s="1"/>
  <c r="Q170" i="2"/>
  <c r="J170" i="4" s="1"/>
  <c r="M169" i="2"/>
  <c r="H169" i="4" s="1"/>
  <c r="Q169" i="2"/>
  <c r="J169" i="4" s="1"/>
  <c r="L169" i="2"/>
  <c r="G169" i="4" s="1"/>
  <c r="P169" i="2"/>
  <c r="I169" i="4" s="1"/>
  <c r="M168" i="2"/>
  <c r="H168" i="4" s="1"/>
  <c r="P168" i="2"/>
  <c r="I168" i="4" s="1"/>
  <c r="L168" i="2"/>
  <c r="G168" i="4" s="1"/>
  <c r="Q168" i="2"/>
  <c r="J168" i="4" s="1"/>
  <c r="M167" i="2"/>
  <c r="H167" i="4" s="1"/>
  <c r="P167" i="2"/>
  <c r="I167" i="4" s="1"/>
  <c r="Q167" i="2"/>
  <c r="J167" i="4" s="1"/>
  <c r="L167" i="2"/>
  <c r="G167" i="4" s="1"/>
  <c r="M166" i="2"/>
  <c r="H166" i="4" s="1"/>
  <c r="L166" i="2"/>
  <c r="G166" i="4" s="1"/>
  <c r="P166" i="2"/>
  <c r="I166" i="4" s="1"/>
  <c r="Q166" i="2"/>
  <c r="J166" i="4" s="1"/>
  <c r="L165" i="2"/>
  <c r="G165" i="4" s="1"/>
  <c r="M165" i="2"/>
  <c r="H165" i="4" s="1"/>
  <c r="P165" i="2"/>
  <c r="I165" i="4" s="1"/>
  <c r="Q165" i="2"/>
  <c r="J165" i="4" s="1"/>
  <c r="M164" i="2"/>
  <c r="H164" i="4" s="1"/>
  <c r="P164" i="2"/>
  <c r="I164" i="4" s="1"/>
  <c r="Q164" i="2"/>
  <c r="J164" i="4" s="1"/>
  <c r="L164" i="2"/>
  <c r="G164" i="4" s="1"/>
  <c r="P163" i="2"/>
  <c r="I163" i="4" s="1"/>
  <c r="Q163" i="2"/>
  <c r="J163" i="4" s="1"/>
  <c r="L163" i="2"/>
  <c r="G163" i="4" s="1"/>
  <c r="M163" i="2"/>
  <c r="H163" i="4" s="1"/>
  <c r="M162" i="2"/>
  <c r="H13" i="3"/>
  <c r="L162" i="2"/>
  <c r="G162" i="4" s="1"/>
  <c r="P162" i="2"/>
  <c r="Q162" i="2"/>
  <c r="J162" i="4" s="1"/>
  <c r="M161" i="2"/>
  <c r="H161" i="4" s="1"/>
  <c r="Q161" i="2"/>
  <c r="J161" i="4" s="1"/>
  <c r="L161" i="2"/>
  <c r="G161" i="4" s="1"/>
  <c r="P161" i="2"/>
  <c r="I161" i="4" s="1"/>
  <c r="P160" i="2"/>
  <c r="I160" i="4" s="1"/>
  <c r="L160" i="2"/>
  <c r="G160" i="4" s="1"/>
  <c r="M160" i="2"/>
  <c r="H160" i="4" s="1"/>
  <c r="Q160" i="2"/>
  <c r="J160" i="4" s="1"/>
  <c r="M159" i="2"/>
  <c r="H159" i="4" s="1"/>
  <c r="P159" i="2"/>
  <c r="I159" i="4" s="1"/>
  <c r="Q159" i="2"/>
  <c r="J159" i="4" s="1"/>
  <c r="L159" i="2"/>
  <c r="G159" i="4" s="1"/>
  <c r="M158" i="2"/>
  <c r="H158" i="4" s="1"/>
  <c r="L158" i="2"/>
  <c r="G158" i="4" s="1"/>
  <c r="P158" i="2"/>
  <c r="I158" i="4" s="1"/>
  <c r="Q158" i="2"/>
  <c r="J158" i="4" s="1"/>
  <c r="M157" i="2"/>
  <c r="H157" i="4" s="1"/>
  <c r="Q157" i="2"/>
  <c r="J157" i="4" s="1"/>
  <c r="L157" i="2"/>
  <c r="G157" i="4" s="1"/>
  <c r="P157" i="2"/>
  <c r="I157" i="4" s="1"/>
  <c r="M156" i="2"/>
  <c r="H156" i="4" s="1"/>
  <c r="Q156" i="2"/>
  <c r="J156" i="4" s="1"/>
  <c r="L156" i="2"/>
  <c r="G156" i="4" s="1"/>
  <c r="P156" i="2"/>
  <c r="I156" i="4" s="1"/>
  <c r="P155" i="2"/>
  <c r="I155" i="4" s="1"/>
  <c r="Q155" i="2"/>
  <c r="J155" i="4" s="1"/>
  <c r="L155" i="2"/>
  <c r="G155" i="4" s="1"/>
  <c r="M155" i="2"/>
  <c r="H155" i="4" s="1"/>
  <c r="L154" i="2"/>
  <c r="G154" i="4" s="1"/>
  <c r="M154" i="2"/>
  <c r="H154" i="4" s="1"/>
  <c r="P154" i="2"/>
  <c r="I154" i="4" s="1"/>
  <c r="Q154" i="2"/>
  <c r="J154" i="4" s="1"/>
  <c r="P153" i="2"/>
  <c r="I153" i="4" s="1"/>
  <c r="L153" i="2"/>
  <c r="G153" i="4" s="1"/>
  <c r="M153" i="2"/>
  <c r="H153" i="4" s="1"/>
  <c r="Q153" i="2"/>
  <c r="J153" i="4" s="1"/>
  <c r="M152" i="2"/>
  <c r="H152" i="4" s="1"/>
  <c r="Q152" i="2"/>
  <c r="J152" i="4" s="1"/>
  <c r="L152" i="2"/>
  <c r="G152" i="4" s="1"/>
  <c r="P152" i="2"/>
  <c r="I152" i="4" s="1"/>
  <c r="L151" i="2"/>
  <c r="G151" i="4" s="1"/>
  <c r="P151" i="2"/>
  <c r="I151" i="4" s="1"/>
  <c r="Q151" i="2"/>
  <c r="J151" i="4" s="1"/>
  <c r="M151" i="2"/>
  <c r="H151" i="4" s="1"/>
  <c r="M150" i="2"/>
  <c r="H150" i="4" s="1"/>
  <c r="P150" i="2"/>
  <c r="I150" i="4" s="1"/>
  <c r="L150" i="2"/>
  <c r="G150" i="4" s="1"/>
  <c r="Q150" i="2"/>
  <c r="J150" i="4" s="1"/>
  <c r="M149" i="2"/>
  <c r="H149" i="4" s="1"/>
  <c r="L149" i="2"/>
  <c r="G149" i="4" s="1"/>
  <c r="P149" i="2"/>
  <c r="I149" i="4" s="1"/>
  <c r="Q149" i="2"/>
  <c r="J149" i="4" s="1"/>
  <c r="M148" i="2"/>
  <c r="H148" i="4" s="1"/>
  <c r="P148" i="2"/>
  <c r="I148" i="4" s="1"/>
  <c r="Q148" i="2"/>
  <c r="J148" i="4" s="1"/>
  <c r="L148" i="2"/>
  <c r="G148" i="4" s="1"/>
  <c r="M147" i="2"/>
  <c r="H147" i="4" s="1"/>
  <c r="P147" i="2"/>
  <c r="I147" i="4" s="1"/>
  <c r="Q147" i="2"/>
  <c r="J147" i="4" s="1"/>
  <c r="L147" i="2"/>
  <c r="G147" i="4" s="1"/>
  <c r="M146" i="2"/>
  <c r="H146" i="4" s="1"/>
  <c r="L146" i="2"/>
  <c r="G146" i="4" s="1"/>
  <c r="P146" i="2"/>
  <c r="I146" i="4" s="1"/>
  <c r="Q146" i="2"/>
  <c r="J146" i="4" s="1"/>
  <c r="M145" i="2"/>
  <c r="H145" i="4" s="1"/>
  <c r="Q145" i="2"/>
  <c r="J145" i="4" s="1"/>
  <c r="L145" i="2"/>
  <c r="G145" i="4" s="1"/>
  <c r="P145" i="2"/>
  <c r="I145" i="4" s="1"/>
  <c r="M144" i="2"/>
  <c r="H144" i="4" s="1"/>
  <c r="Q144" i="2"/>
  <c r="J144" i="4" s="1"/>
  <c r="L144" i="2"/>
  <c r="G144" i="4" s="1"/>
  <c r="P144" i="2"/>
  <c r="I144" i="4" s="1"/>
  <c r="P143" i="2"/>
  <c r="I143" i="4" s="1"/>
  <c r="L143" i="2"/>
  <c r="G143" i="4" s="1"/>
  <c r="M143" i="2"/>
  <c r="H143" i="4" s="1"/>
  <c r="Q143" i="2"/>
  <c r="J143" i="4" s="1"/>
  <c r="M142" i="2"/>
  <c r="H142" i="4" s="1"/>
  <c r="P142" i="2"/>
  <c r="I142" i="4" s="1"/>
  <c r="Q142" i="2"/>
  <c r="J142" i="4" s="1"/>
  <c r="H12" i="3"/>
  <c r="L142" i="2"/>
  <c r="G142" i="4" s="1"/>
  <c r="M141" i="2"/>
  <c r="H141" i="4" s="1"/>
  <c r="Q141" i="2"/>
  <c r="J141" i="4" s="1"/>
  <c r="L141" i="2"/>
  <c r="G141" i="4" s="1"/>
  <c r="P141" i="2"/>
  <c r="I141" i="4" s="1"/>
  <c r="M140" i="2"/>
  <c r="H140" i="4" s="1"/>
  <c r="P140" i="2"/>
  <c r="I140" i="4" s="1"/>
  <c r="Q140" i="2"/>
  <c r="J140" i="4" s="1"/>
  <c r="L140" i="2"/>
  <c r="G140" i="4" s="1"/>
  <c r="M139" i="2"/>
  <c r="H139" i="4" s="1"/>
  <c r="Q139" i="2"/>
  <c r="J139" i="4" s="1"/>
  <c r="L139" i="2"/>
  <c r="G139" i="4" s="1"/>
  <c r="P139" i="2"/>
  <c r="I139" i="4" s="1"/>
  <c r="P138" i="2"/>
  <c r="I138" i="4" s="1"/>
  <c r="Q138" i="2"/>
  <c r="J138" i="4" s="1"/>
  <c r="L138" i="2"/>
  <c r="G138" i="4" s="1"/>
  <c r="M138" i="2"/>
  <c r="H138" i="4" s="1"/>
  <c r="L137" i="2"/>
  <c r="G137" i="4" s="1"/>
  <c r="M137" i="2"/>
  <c r="H137" i="4" s="1"/>
  <c r="P137" i="2"/>
  <c r="I137" i="4" s="1"/>
  <c r="Q137" i="2"/>
  <c r="J137" i="4" s="1"/>
  <c r="L136" i="2"/>
  <c r="G136" i="4" s="1"/>
  <c r="M136" i="2"/>
  <c r="H136" i="4" s="1"/>
  <c r="P136" i="2"/>
  <c r="I136" i="4" s="1"/>
  <c r="Q136" i="2"/>
  <c r="J136" i="4" s="1"/>
  <c r="L135" i="2"/>
  <c r="G135" i="4" s="1"/>
  <c r="M135" i="2"/>
  <c r="H135" i="4" s="1"/>
  <c r="P135" i="2"/>
  <c r="I135" i="4" s="1"/>
  <c r="Q135" i="2"/>
  <c r="J135" i="4" s="1"/>
  <c r="L134" i="2"/>
  <c r="G134" i="4" s="1"/>
  <c r="M134" i="2"/>
  <c r="H134" i="4" s="1"/>
  <c r="P134" i="2"/>
  <c r="I134" i="4" s="1"/>
  <c r="Q134" i="2"/>
  <c r="J134" i="4" s="1"/>
  <c r="L133" i="2"/>
  <c r="G133" i="4" s="1"/>
  <c r="M133" i="2"/>
  <c r="H133" i="4" s="1"/>
  <c r="P133" i="2"/>
  <c r="I133" i="4" s="1"/>
  <c r="Q133" i="2"/>
  <c r="J133" i="4" s="1"/>
  <c r="L132" i="2"/>
  <c r="G132" i="4" s="1"/>
  <c r="M132" i="2"/>
  <c r="H132" i="4" s="1"/>
  <c r="P132" i="2"/>
  <c r="I132" i="4" s="1"/>
  <c r="Q132" i="2"/>
  <c r="J132" i="4" s="1"/>
  <c r="L131" i="2"/>
  <c r="G131" i="4" s="1"/>
  <c r="M131" i="2"/>
  <c r="H131" i="4" s="1"/>
  <c r="P131" i="2"/>
  <c r="I131" i="4" s="1"/>
  <c r="Q131" i="2"/>
  <c r="J131" i="4" s="1"/>
  <c r="L130" i="2"/>
  <c r="G130" i="4" s="1"/>
  <c r="M130" i="2"/>
  <c r="H130" i="4" s="1"/>
  <c r="P130" i="2"/>
  <c r="I130" i="4" s="1"/>
  <c r="Q130" i="2"/>
  <c r="J130" i="4" s="1"/>
  <c r="L129" i="2"/>
  <c r="G129" i="4" s="1"/>
  <c r="M129" i="2"/>
  <c r="H129" i="4" s="1"/>
  <c r="P129" i="2"/>
  <c r="I129" i="4" s="1"/>
  <c r="Q129" i="2"/>
  <c r="J129" i="4" s="1"/>
  <c r="L128" i="2"/>
  <c r="G128" i="4" s="1"/>
  <c r="M128" i="2"/>
  <c r="H128" i="4" s="1"/>
  <c r="P128" i="2"/>
  <c r="I128" i="4" s="1"/>
  <c r="Q128" i="2"/>
  <c r="J128" i="4" s="1"/>
  <c r="L127" i="2"/>
  <c r="G127" i="4" s="1"/>
  <c r="M127" i="2"/>
  <c r="H127" i="4" s="1"/>
  <c r="P127" i="2"/>
  <c r="I127" i="4" s="1"/>
  <c r="Q127" i="2"/>
  <c r="J127" i="4" s="1"/>
  <c r="L126" i="2"/>
  <c r="G126" i="4" s="1"/>
  <c r="M126" i="2"/>
  <c r="H126" i="4" s="1"/>
  <c r="P126" i="2"/>
  <c r="I126" i="4" s="1"/>
  <c r="Q126" i="2"/>
  <c r="J126" i="4" s="1"/>
  <c r="L125" i="2"/>
  <c r="G125" i="4" s="1"/>
  <c r="M125" i="2"/>
  <c r="H125" i="4" s="1"/>
  <c r="P125" i="2"/>
  <c r="I125" i="4" s="1"/>
  <c r="Q125" i="2"/>
  <c r="J125" i="4" s="1"/>
  <c r="L124" i="2"/>
  <c r="G124" i="4" s="1"/>
  <c r="M124" i="2"/>
  <c r="H124" i="4" s="1"/>
  <c r="P124" i="2"/>
  <c r="I124" i="4" s="1"/>
  <c r="Q124" i="2"/>
  <c r="J124" i="4" s="1"/>
  <c r="L123" i="2"/>
  <c r="G123" i="4" s="1"/>
  <c r="M123" i="2"/>
  <c r="H123" i="4" s="1"/>
  <c r="P123" i="2"/>
  <c r="I123" i="4" s="1"/>
  <c r="Q123" i="2"/>
  <c r="J123" i="4" s="1"/>
  <c r="L122" i="2"/>
  <c r="G122" i="4" s="1"/>
  <c r="M122" i="2"/>
  <c r="P122" i="2"/>
  <c r="Q122" i="2"/>
  <c r="J122" i="4" s="1"/>
  <c r="H11" i="3"/>
  <c r="L121" i="2"/>
  <c r="G121" i="4" s="1"/>
  <c r="M121" i="2"/>
  <c r="H121" i="4" s="1"/>
  <c r="P121" i="2"/>
  <c r="I121" i="4" s="1"/>
  <c r="Q121" i="2"/>
  <c r="J121" i="4" s="1"/>
  <c r="L120" i="2"/>
  <c r="G120" i="4" s="1"/>
  <c r="M120" i="2"/>
  <c r="H120" i="4" s="1"/>
  <c r="P120" i="2"/>
  <c r="I120" i="4" s="1"/>
  <c r="Q120" i="2"/>
  <c r="J120" i="4" s="1"/>
  <c r="L119" i="2"/>
  <c r="G119" i="4" s="1"/>
  <c r="M119" i="2"/>
  <c r="H119" i="4" s="1"/>
  <c r="P119" i="2"/>
  <c r="I119" i="4" s="1"/>
  <c r="Q119" i="2"/>
  <c r="J119" i="4" s="1"/>
  <c r="L118" i="2"/>
  <c r="G118" i="4" s="1"/>
  <c r="M118" i="2"/>
  <c r="H118" i="4" s="1"/>
  <c r="P118" i="2"/>
  <c r="I118" i="4" s="1"/>
  <c r="Q118" i="2"/>
  <c r="J118" i="4" s="1"/>
  <c r="L117" i="2"/>
  <c r="G117" i="4" s="1"/>
  <c r="M117" i="2"/>
  <c r="H117" i="4" s="1"/>
  <c r="P117" i="2"/>
  <c r="I117" i="4" s="1"/>
  <c r="Q117" i="2"/>
  <c r="J117" i="4" s="1"/>
  <c r="L116" i="2"/>
  <c r="G116" i="4" s="1"/>
  <c r="M116" i="2"/>
  <c r="H116" i="4" s="1"/>
  <c r="P116" i="2"/>
  <c r="I116" i="4" s="1"/>
  <c r="Q116" i="2"/>
  <c r="J116" i="4" s="1"/>
  <c r="L115" i="2"/>
  <c r="G115" i="4" s="1"/>
  <c r="M115" i="2"/>
  <c r="H115" i="4" s="1"/>
  <c r="P115" i="2"/>
  <c r="I115" i="4" s="1"/>
  <c r="Q115" i="2"/>
  <c r="J115" i="4" s="1"/>
  <c r="L114" i="2"/>
  <c r="G114" i="4" s="1"/>
  <c r="M114" i="2"/>
  <c r="H114" i="4" s="1"/>
  <c r="P114" i="2"/>
  <c r="I114" i="4" s="1"/>
  <c r="Q114" i="2"/>
  <c r="J114" i="4" s="1"/>
  <c r="L113" i="2"/>
  <c r="G113" i="4" s="1"/>
  <c r="M113" i="2"/>
  <c r="H113" i="4" s="1"/>
  <c r="P113" i="2"/>
  <c r="I113" i="4" s="1"/>
  <c r="Q113" i="2"/>
  <c r="J113" i="4" s="1"/>
  <c r="L112" i="2"/>
  <c r="G112" i="4" s="1"/>
  <c r="M112" i="2"/>
  <c r="H112" i="4" s="1"/>
  <c r="P112" i="2"/>
  <c r="I112" i="4" s="1"/>
  <c r="Q112" i="2"/>
  <c r="J112" i="4" s="1"/>
  <c r="L111" i="2"/>
  <c r="G111" i="4" s="1"/>
  <c r="M111" i="2"/>
  <c r="H111" i="4" s="1"/>
  <c r="P111" i="2"/>
  <c r="I111" i="4" s="1"/>
  <c r="Q111" i="2"/>
  <c r="J111" i="4" s="1"/>
  <c r="L110" i="2"/>
  <c r="G110" i="4" s="1"/>
  <c r="M110" i="2"/>
  <c r="H110" i="4" s="1"/>
  <c r="P110" i="2"/>
  <c r="I110" i="4" s="1"/>
  <c r="Q110" i="2"/>
  <c r="J110" i="4" s="1"/>
  <c r="L109" i="2"/>
  <c r="G109" i="4" s="1"/>
  <c r="M109" i="2"/>
  <c r="H109" i="4" s="1"/>
  <c r="P109" i="2"/>
  <c r="I109" i="4" s="1"/>
  <c r="Q109" i="2"/>
  <c r="J109" i="4" s="1"/>
  <c r="L108" i="2"/>
  <c r="G108" i="4" s="1"/>
  <c r="M108" i="2"/>
  <c r="H108" i="4" s="1"/>
  <c r="P108" i="2"/>
  <c r="I108" i="4" s="1"/>
  <c r="Q108" i="2"/>
  <c r="J108" i="4" s="1"/>
  <c r="L107" i="2"/>
  <c r="G107" i="4" s="1"/>
  <c r="M107" i="2"/>
  <c r="H107" i="4" s="1"/>
  <c r="P107" i="2"/>
  <c r="I107" i="4" s="1"/>
  <c r="Q107" i="2"/>
  <c r="J107" i="4" s="1"/>
  <c r="L106" i="2"/>
  <c r="G106" i="4" s="1"/>
  <c r="M106" i="2"/>
  <c r="H106" i="4" s="1"/>
  <c r="P106" i="2"/>
  <c r="I106" i="4" s="1"/>
  <c r="Q106" i="2"/>
  <c r="J106" i="4" s="1"/>
  <c r="L105" i="2"/>
  <c r="G105" i="4" s="1"/>
  <c r="M105" i="2"/>
  <c r="H105" i="4" s="1"/>
  <c r="P105" i="2"/>
  <c r="I105" i="4" s="1"/>
  <c r="Q105" i="2"/>
  <c r="J105" i="4" s="1"/>
  <c r="L104" i="2"/>
  <c r="G104" i="4" s="1"/>
  <c r="M104" i="2"/>
  <c r="H104" i="4" s="1"/>
  <c r="P104" i="2"/>
  <c r="I104" i="4" s="1"/>
  <c r="Q104" i="2"/>
  <c r="J104" i="4" s="1"/>
  <c r="L103" i="2"/>
  <c r="G103" i="4" s="1"/>
  <c r="M103" i="2"/>
  <c r="H103" i="4" s="1"/>
  <c r="P103" i="2"/>
  <c r="I103" i="4" s="1"/>
  <c r="Q103" i="2"/>
  <c r="J103" i="4" s="1"/>
  <c r="L102" i="2"/>
  <c r="G102" i="4" s="1"/>
  <c r="M102" i="2"/>
  <c r="P102" i="2"/>
  <c r="Q102" i="2"/>
  <c r="J102" i="4" s="1"/>
  <c r="H10" i="3"/>
  <c r="L101" i="2"/>
  <c r="G101" i="4" s="1"/>
  <c r="M101" i="2"/>
  <c r="H101" i="4" s="1"/>
  <c r="P101" i="2"/>
  <c r="I101" i="4" s="1"/>
  <c r="Q101" i="2"/>
  <c r="J101" i="4" s="1"/>
  <c r="L100" i="2"/>
  <c r="G100" i="4" s="1"/>
  <c r="M100" i="2"/>
  <c r="H100" i="4" s="1"/>
  <c r="P100" i="2"/>
  <c r="I100" i="4" s="1"/>
  <c r="Q100" i="2"/>
  <c r="J100" i="4" s="1"/>
  <c r="L99" i="2"/>
  <c r="G99" i="4" s="1"/>
  <c r="M99" i="2"/>
  <c r="H99" i="4" s="1"/>
  <c r="P99" i="2"/>
  <c r="I99" i="4" s="1"/>
  <c r="Q99" i="2"/>
  <c r="J99" i="4" s="1"/>
  <c r="L98" i="2"/>
  <c r="G98" i="4" s="1"/>
  <c r="M98" i="2"/>
  <c r="H98" i="4" s="1"/>
  <c r="P98" i="2"/>
  <c r="I98" i="4" s="1"/>
  <c r="Q98" i="2"/>
  <c r="J98" i="4" s="1"/>
  <c r="L97" i="2"/>
  <c r="G97" i="4" s="1"/>
  <c r="M97" i="2"/>
  <c r="H97" i="4" s="1"/>
  <c r="P97" i="2"/>
  <c r="I97" i="4" s="1"/>
  <c r="Q97" i="2"/>
  <c r="J97" i="4" s="1"/>
  <c r="L96" i="2"/>
  <c r="G96" i="4" s="1"/>
  <c r="M96" i="2"/>
  <c r="H96" i="4" s="1"/>
  <c r="P96" i="2"/>
  <c r="I96" i="4" s="1"/>
  <c r="Q96" i="2"/>
  <c r="J96" i="4" s="1"/>
  <c r="L95" i="2"/>
  <c r="G95" i="4" s="1"/>
  <c r="M95" i="2"/>
  <c r="H95" i="4" s="1"/>
  <c r="P95" i="2"/>
  <c r="I95" i="4" s="1"/>
  <c r="Q95" i="2"/>
  <c r="J95" i="4" s="1"/>
  <c r="L94" i="2"/>
  <c r="G94" i="4" s="1"/>
  <c r="M94" i="2"/>
  <c r="H94" i="4" s="1"/>
  <c r="P94" i="2"/>
  <c r="I94" i="4" s="1"/>
  <c r="Q94" i="2"/>
  <c r="J94" i="4" s="1"/>
  <c r="L93" i="2"/>
  <c r="G93" i="4" s="1"/>
  <c r="M93" i="2"/>
  <c r="H93" i="4" s="1"/>
  <c r="P93" i="2"/>
  <c r="I93" i="4" s="1"/>
  <c r="Q93" i="2"/>
  <c r="J93" i="4" s="1"/>
  <c r="L92" i="2"/>
  <c r="G92" i="4" s="1"/>
  <c r="M92" i="2"/>
  <c r="H92" i="4" s="1"/>
  <c r="P92" i="2"/>
  <c r="I92" i="4" s="1"/>
  <c r="Q92" i="2"/>
  <c r="J92" i="4" s="1"/>
  <c r="L91" i="2"/>
  <c r="G91" i="4" s="1"/>
  <c r="M91" i="2"/>
  <c r="H91" i="4" s="1"/>
  <c r="P91" i="2"/>
  <c r="I91" i="4" s="1"/>
  <c r="Q91" i="2"/>
  <c r="J91" i="4" s="1"/>
  <c r="L90" i="2"/>
  <c r="G90" i="4" s="1"/>
  <c r="M90" i="2"/>
  <c r="H90" i="4" s="1"/>
  <c r="P90" i="2"/>
  <c r="I90" i="4" s="1"/>
  <c r="Q90" i="2"/>
  <c r="J90" i="4" s="1"/>
  <c r="L89" i="2"/>
  <c r="G89" i="4" s="1"/>
  <c r="M89" i="2"/>
  <c r="H89" i="4" s="1"/>
  <c r="P89" i="2"/>
  <c r="I89" i="4" s="1"/>
  <c r="Q89" i="2"/>
  <c r="J89" i="4" s="1"/>
  <c r="L88" i="2"/>
  <c r="G88" i="4" s="1"/>
  <c r="M88" i="2"/>
  <c r="H88" i="4" s="1"/>
  <c r="P88" i="2"/>
  <c r="I88" i="4" s="1"/>
  <c r="Q88" i="2"/>
  <c r="J88" i="4" s="1"/>
  <c r="L87" i="2"/>
  <c r="G87" i="4" s="1"/>
  <c r="M87" i="2"/>
  <c r="H87" i="4" s="1"/>
  <c r="P87" i="2"/>
  <c r="I87" i="4" s="1"/>
  <c r="Q87" i="2"/>
  <c r="J87" i="4" s="1"/>
  <c r="L86" i="2"/>
  <c r="G86" i="4" s="1"/>
  <c r="M86" i="2"/>
  <c r="H86" i="4" s="1"/>
  <c r="P86" i="2"/>
  <c r="I86" i="4" s="1"/>
  <c r="Q86" i="2"/>
  <c r="J86" i="4" s="1"/>
  <c r="L85" i="2"/>
  <c r="G85" i="4" s="1"/>
  <c r="M85" i="2"/>
  <c r="H85" i="4" s="1"/>
  <c r="P85" i="2"/>
  <c r="I85" i="4" s="1"/>
  <c r="Q85" i="2"/>
  <c r="J85" i="4" s="1"/>
  <c r="L84" i="2"/>
  <c r="G84" i="4" s="1"/>
  <c r="M84" i="2"/>
  <c r="H84" i="4" s="1"/>
  <c r="P84" i="2"/>
  <c r="I84" i="4" s="1"/>
  <c r="Q84" i="2"/>
  <c r="J84" i="4" s="1"/>
  <c r="L83" i="2"/>
  <c r="G83" i="4" s="1"/>
  <c r="M83" i="2"/>
  <c r="H83" i="4" s="1"/>
  <c r="P83" i="2"/>
  <c r="I83" i="4" s="1"/>
  <c r="Q83" i="2"/>
  <c r="J83" i="4" s="1"/>
  <c r="L82" i="2"/>
  <c r="G82" i="4" s="1"/>
  <c r="M82" i="2"/>
  <c r="P82" i="2"/>
  <c r="Q82" i="2"/>
  <c r="J82" i="4" s="1"/>
  <c r="H9" i="3"/>
  <c r="L81" i="2"/>
  <c r="G81" i="4" s="1"/>
  <c r="M81" i="2"/>
  <c r="H81" i="4" s="1"/>
  <c r="P81" i="2"/>
  <c r="I81" i="4" s="1"/>
  <c r="Q81" i="2"/>
  <c r="J81" i="4" s="1"/>
  <c r="L80" i="2"/>
  <c r="G80" i="4" s="1"/>
  <c r="M80" i="2"/>
  <c r="H80" i="4" s="1"/>
  <c r="P80" i="2"/>
  <c r="I80" i="4" s="1"/>
  <c r="Q80" i="2"/>
  <c r="J80" i="4" s="1"/>
  <c r="L79" i="2"/>
  <c r="G79" i="4" s="1"/>
  <c r="M79" i="2"/>
  <c r="H79" i="4" s="1"/>
  <c r="P79" i="2"/>
  <c r="I79" i="4" s="1"/>
  <c r="Q79" i="2"/>
  <c r="J79" i="4" s="1"/>
  <c r="L78" i="2"/>
  <c r="G78" i="4" s="1"/>
  <c r="M78" i="2"/>
  <c r="H78" i="4" s="1"/>
  <c r="P78" i="2"/>
  <c r="I78" i="4" s="1"/>
  <c r="Q78" i="2"/>
  <c r="J78" i="4" s="1"/>
  <c r="L77" i="2"/>
  <c r="G77" i="4" s="1"/>
  <c r="M77" i="2"/>
  <c r="H77" i="4" s="1"/>
  <c r="P77" i="2"/>
  <c r="I77" i="4" s="1"/>
  <c r="Q77" i="2"/>
  <c r="J77" i="4" s="1"/>
  <c r="L76" i="2"/>
  <c r="G76" i="4" s="1"/>
  <c r="M76" i="2"/>
  <c r="H76" i="4" s="1"/>
  <c r="P76" i="2"/>
  <c r="I76" i="4" s="1"/>
  <c r="Q76" i="2"/>
  <c r="J76" i="4" s="1"/>
  <c r="L75" i="2"/>
  <c r="G75" i="4" s="1"/>
  <c r="M75" i="2"/>
  <c r="H75" i="4" s="1"/>
  <c r="P75" i="2"/>
  <c r="I75" i="4" s="1"/>
  <c r="Q75" i="2"/>
  <c r="J75" i="4" s="1"/>
  <c r="L74" i="2"/>
  <c r="G74" i="4" s="1"/>
  <c r="M74" i="2"/>
  <c r="H74" i="4" s="1"/>
  <c r="P74" i="2"/>
  <c r="I74" i="4" s="1"/>
  <c r="Q74" i="2"/>
  <c r="J74" i="4" s="1"/>
  <c r="L73" i="2"/>
  <c r="G73" i="4" s="1"/>
  <c r="M73" i="2"/>
  <c r="H73" i="4" s="1"/>
  <c r="P73" i="2"/>
  <c r="I73" i="4" s="1"/>
  <c r="Q73" i="2"/>
  <c r="J73" i="4" s="1"/>
  <c r="L72" i="2"/>
  <c r="G72" i="4" s="1"/>
  <c r="M72" i="2"/>
  <c r="H72" i="4" s="1"/>
  <c r="P72" i="2"/>
  <c r="I72" i="4" s="1"/>
  <c r="Q72" i="2"/>
  <c r="J72" i="4" s="1"/>
  <c r="L71" i="2"/>
  <c r="G71" i="4" s="1"/>
  <c r="M71" i="2"/>
  <c r="H71" i="4" s="1"/>
  <c r="P71" i="2"/>
  <c r="I71" i="4" s="1"/>
  <c r="Q71" i="2"/>
  <c r="J71" i="4" s="1"/>
  <c r="L70" i="2"/>
  <c r="G70" i="4" s="1"/>
  <c r="M70" i="2"/>
  <c r="H70" i="4" s="1"/>
  <c r="P70" i="2"/>
  <c r="I70" i="4" s="1"/>
  <c r="Q70" i="2"/>
  <c r="J70" i="4" s="1"/>
  <c r="L69" i="2"/>
  <c r="G69" i="4" s="1"/>
  <c r="M69" i="2"/>
  <c r="H69" i="4" s="1"/>
  <c r="P69" i="2"/>
  <c r="I69" i="4" s="1"/>
  <c r="Q69" i="2"/>
  <c r="J69" i="4" s="1"/>
  <c r="L68" i="2"/>
  <c r="G68" i="4" s="1"/>
  <c r="M68" i="2"/>
  <c r="H68" i="4" s="1"/>
  <c r="P68" i="2"/>
  <c r="I68" i="4" s="1"/>
  <c r="Q68" i="2"/>
  <c r="J68" i="4" s="1"/>
  <c r="L67" i="2"/>
  <c r="G67" i="4" s="1"/>
  <c r="M67" i="2"/>
  <c r="H67" i="4" s="1"/>
  <c r="P67" i="2"/>
  <c r="I67" i="4" s="1"/>
  <c r="Q67" i="2"/>
  <c r="J67" i="4" s="1"/>
  <c r="L66" i="2"/>
  <c r="G66" i="4" s="1"/>
  <c r="M66" i="2"/>
  <c r="H66" i="4" s="1"/>
  <c r="P66" i="2"/>
  <c r="I66" i="4" s="1"/>
  <c r="Q66" i="2"/>
  <c r="J66" i="4" s="1"/>
  <c r="L65" i="2"/>
  <c r="G65" i="4" s="1"/>
  <c r="M65" i="2"/>
  <c r="H65" i="4" s="1"/>
  <c r="P65" i="2"/>
  <c r="I65" i="4" s="1"/>
  <c r="Q65" i="2"/>
  <c r="J65" i="4" s="1"/>
  <c r="L64" i="2"/>
  <c r="G64" i="4" s="1"/>
  <c r="M64" i="2"/>
  <c r="H64" i="4" s="1"/>
  <c r="P64" i="2"/>
  <c r="I64" i="4" s="1"/>
  <c r="Q64" i="2"/>
  <c r="J64" i="4" s="1"/>
  <c r="L63" i="2"/>
  <c r="G63" i="4" s="1"/>
  <c r="M63" i="2"/>
  <c r="H63" i="4" s="1"/>
  <c r="P63" i="2"/>
  <c r="I63" i="4" s="1"/>
  <c r="Q63" i="2"/>
  <c r="J63" i="4" s="1"/>
  <c r="L62" i="2"/>
  <c r="G62" i="4" s="1"/>
  <c r="M62" i="2"/>
  <c r="P62" i="2"/>
  <c r="Q62" i="2"/>
  <c r="J62" i="4" s="1"/>
  <c r="H8" i="3"/>
  <c r="L61" i="2"/>
  <c r="G61" i="4" s="1"/>
  <c r="M61" i="2"/>
  <c r="H61" i="4" s="1"/>
  <c r="P61" i="2"/>
  <c r="I61" i="4" s="1"/>
  <c r="Q61" i="2"/>
  <c r="J61" i="4" s="1"/>
  <c r="L60" i="2"/>
  <c r="G60" i="4" s="1"/>
  <c r="M60" i="2"/>
  <c r="H60" i="4" s="1"/>
  <c r="P60" i="2"/>
  <c r="I60" i="4" s="1"/>
  <c r="Q60" i="2"/>
  <c r="J60" i="4" s="1"/>
  <c r="L59" i="2"/>
  <c r="G59" i="4" s="1"/>
  <c r="M59" i="2"/>
  <c r="H59" i="4" s="1"/>
  <c r="P59" i="2"/>
  <c r="I59" i="4" s="1"/>
  <c r="Q59" i="2"/>
  <c r="J59" i="4" s="1"/>
  <c r="L58" i="2"/>
  <c r="G58" i="4" s="1"/>
  <c r="M58" i="2"/>
  <c r="H58" i="4" s="1"/>
  <c r="P58" i="2"/>
  <c r="I58" i="4" s="1"/>
  <c r="Q58" i="2"/>
  <c r="J58" i="4" s="1"/>
  <c r="L57" i="2"/>
  <c r="G57" i="4" s="1"/>
  <c r="M57" i="2"/>
  <c r="H57" i="4" s="1"/>
  <c r="P57" i="2"/>
  <c r="I57" i="4" s="1"/>
  <c r="Q57" i="2"/>
  <c r="J57" i="4" s="1"/>
  <c r="L56" i="2"/>
  <c r="G56" i="4" s="1"/>
  <c r="M56" i="2"/>
  <c r="H56" i="4" s="1"/>
  <c r="P56" i="2"/>
  <c r="I56" i="4" s="1"/>
  <c r="Q56" i="2"/>
  <c r="J56" i="4" s="1"/>
  <c r="L55" i="2"/>
  <c r="G55" i="4" s="1"/>
  <c r="M55" i="2"/>
  <c r="H55" i="4" s="1"/>
  <c r="P55" i="2"/>
  <c r="I55" i="4" s="1"/>
  <c r="Q55" i="2"/>
  <c r="J55" i="4" s="1"/>
  <c r="L54" i="2"/>
  <c r="G54" i="4" s="1"/>
  <c r="M54" i="2"/>
  <c r="H54" i="4" s="1"/>
  <c r="P54" i="2"/>
  <c r="I54" i="4" s="1"/>
  <c r="Q54" i="2"/>
  <c r="J54" i="4" s="1"/>
  <c r="L53" i="2"/>
  <c r="G53" i="4" s="1"/>
  <c r="M53" i="2"/>
  <c r="H53" i="4" s="1"/>
  <c r="P53" i="2"/>
  <c r="I53" i="4" s="1"/>
  <c r="Q53" i="2"/>
  <c r="J53" i="4" s="1"/>
  <c r="L52" i="2"/>
  <c r="G52" i="4" s="1"/>
  <c r="M52" i="2"/>
  <c r="H52" i="4" s="1"/>
  <c r="P52" i="2"/>
  <c r="I52" i="4" s="1"/>
  <c r="Q52" i="2"/>
  <c r="J52" i="4" s="1"/>
  <c r="L51" i="2"/>
  <c r="G51" i="4" s="1"/>
  <c r="M51" i="2"/>
  <c r="H51" i="4" s="1"/>
  <c r="P51" i="2"/>
  <c r="I51" i="4" s="1"/>
  <c r="Q51" i="2"/>
  <c r="J51" i="4" s="1"/>
  <c r="L50" i="2"/>
  <c r="G50" i="4" s="1"/>
  <c r="M50" i="2"/>
  <c r="H50" i="4" s="1"/>
  <c r="P50" i="2"/>
  <c r="I50" i="4" s="1"/>
  <c r="Q50" i="2"/>
  <c r="J50" i="4" s="1"/>
  <c r="L49" i="2"/>
  <c r="G49" i="4" s="1"/>
  <c r="M49" i="2"/>
  <c r="H49" i="4" s="1"/>
  <c r="P49" i="2"/>
  <c r="I49" i="4" s="1"/>
  <c r="Q49" i="2"/>
  <c r="J49" i="4" s="1"/>
  <c r="L48" i="2"/>
  <c r="G48" i="4" s="1"/>
  <c r="M48" i="2"/>
  <c r="H48" i="4" s="1"/>
  <c r="P48" i="2"/>
  <c r="I48" i="4" s="1"/>
  <c r="Q48" i="2"/>
  <c r="J48" i="4" s="1"/>
  <c r="L47" i="2"/>
  <c r="G47" i="4" s="1"/>
  <c r="M47" i="2"/>
  <c r="H47" i="4" s="1"/>
  <c r="P47" i="2"/>
  <c r="I47" i="4" s="1"/>
  <c r="Q47" i="2"/>
  <c r="J47" i="4" s="1"/>
  <c r="L46" i="2"/>
  <c r="G46" i="4" s="1"/>
  <c r="M46" i="2"/>
  <c r="H46" i="4" s="1"/>
  <c r="P46" i="2"/>
  <c r="I46" i="4" s="1"/>
  <c r="Q46" i="2"/>
  <c r="J46" i="4" s="1"/>
  <c r="L45" i="2"/>
  <c r="G45" i="4" s="1"/>
  <c r="M45" i="2"/>
  <c r="H45" i="4" s="1"/>
  <c r="P45" i="2"/>
  <c r="I45" i="4" s="1"/>
  <c r="Q45" i="2"/>
  <c r="J45" i="4" s="1"/>
  <c r="L44" i="2"/>
  <c r="G44" i="4" s="1"/>
  <c r="M44" i="2"/>
  <c r="H44" i="4" s="1"/>
  <c r="P44" i="2"/>
  <c r="I44" i="4" s="1"/>
  <c r="Q44" i="2"/>
  <c r="J44" i="4" s="1"/>
  <c r="L43" i="2"/>
  <c r="G43" i="4" s="1"/>
  <c r="M43" i="2"/>
  <c r="H43" i="4" s="1"/>
  <c r="P43" i="2"/>
  <c r="I43" i="4" s="1"/>
  <c r="Q43" i="2"/>
  <c r="J43" i="4" s="1"/>
  <c r="L42" i="2"/>
  <c r="G42" i="4" s="1"/>
  <c r="M42" i="2"/>
  <c r="P42" i="2"/>
  <c r="Q42" i="2"/>
  <c r="J42" i="4" s="1"/>
  <c r="H7" i="3"/>
  <c r="L41" i="2"/>
  <c r="G41" i="4" s="1"/>
  <c r="M41" i="2"/>
  <c r="H41" i="4" s="1"/>
  <c r="P41" i="2"/>
  <c r="I41" i="4" s="1"/>
  <c r="Q41" i="2"/>
  <c r="J41" i="4" s="1"/>
  <c r="L40" i="2"/>
  <c r="G40" i="4" s="1"/>
  <c r="M40" i="2"/>
  <c r="H40" i="4" s="1"/>
  <c r="P40" i="2"/>
  <c r="I40" i="4" s="1"/>
  <c r="Q40" i="2"/>
  <c r="J40" i="4" s="1"/>
  <c r="L39" i="2"/>
  <c r="G39" i="4" s="1"/>
  <c r="M39" i="2"/>
  <c r="H39" i="4" s="1"/>
  <c r="P39" i="2"/>
  <c r="I39" i="4" s="1"/>
  <c r="Q39" i="2"/>
  <c r="J39" i="4" s="1"/>
  <c r="L38" i="2"/>
  <c r="G38" i="4" s="1"/>
  <c r="M38" i="2"/>
  <c r="H38" i="4" s="1"/>
  <c r="P38" i="2"/>
  <c r="I38" i="4" s="1"/>
  <c r="Q38" i="2"/>
  <c r="J38" i="4" s="1"/>
  <c r="L37" i="2"/>
  <c r="G37" i="4" s="1"/>
  <c r="M37" i="2"/>
  <c r="H37" i="4" s="1"/>
  <c r="P37" i="2"/>
  <c r="I37" i="4" s="1"/>
  <c r="Q37" i="2"/>
  <c r="J37" i="4" s="1"/>
  <c r="L36" i="2"/>
  <c r="G36" i="4" s="1"/>
  <c r="M36" i="2"/>
  <c r="H36" i="4" s="1"/>
  <c r="P36" i="2"/>
  <c r="I36" i="4" s="1"/>
  <c r="Q36" i="2"/>
  <c r="J36" i="4" s="1"/>
  <c r="L35" i="2"/>
  <c r="G35" i="4" s="1"/>
  <c r="M35" i="2"/>
  <c r="H35" i="4" s="1"/>
  <c r="P35" i="2"/>
  <c r="I35" i="4" s="1"/>
  <c r="Q35" i="2"/>
  <c r="J35" i="4" s="1"/>
  <c r="L34" i="2"/>
  <c r="G34" i="4" s="1"/>
  <c r="M34" i="2"/>
  <c r="H34" i="4" s="1"/>
  <c r="P34" i="2"/>
  <c r="I34" i="4" s="1"/>
  <c r="Q34" i="2"/>
  <c r="J34" i="4" s="1"/>
  <c r="L33" i="2"/>
  <c r="G33" i="4" s="1"/>
  <c r="M33" i="2"/>
  <c r="H33" i="4" s="1"/>
  <c r="P33" i="2"/>
  <c r="I33" i="4" s="1"/>
  <c r="Q33" i="2"/>
  <c r="J33" i="4" s="1"/>
  <c r="L32" i="2"/>
  <c r="G32" i="4" s="1"/>
  <c r="M32" i="2"/>
  <c r="H32" i="4" s="1"/>
  <c r="P32" i="2"/>
  <c r="I32" i="4" s="1"/>
  <c r="Q32" i="2"/>
  <c r="J32" i="4" s="1"/>
  <c r="L31" i="2"/>
  <c r="G31" i="4" s="1"/>
  <c r="M31" i="2"/>
  <c r="H31" i="4" s="1"/>
  <c r="P31" i="2"/>
  <c r="I31" i="4" s="1"/>
  <c r="Q31" i="2"/>
  <c r="J31" i="4" s="1"/>
  <c r="L30" i="2"/>
  <c r="G30" i="4" s="1"/>
  <c r="M30" i="2"/>
  <c r="H30" i="4" s="1"/>
  <c r="P30" i="2"/>
  <c r="I30" i="4" s="1"/>
  <c r="Q30" i="2"/>
  <c r="J30" i="4" s="1"/>
  <c r="L29" i="2"/>
  <c r="G29" i="4" s="1"/>
  <c r="M29" i="2"/>
  <c r="H29" i="4" s="1"/>
  <c r="P29" i="2"/>
  <c r="I29" i="4" s="1"/>
  <c r="Q29" i="2"/>
  <c r="J29" i="4" s="1"/>
  <c r="L28" i="2"/>
  <c r="G28" i="4" s="1"/>
  <c r="M28" i="2"/>
  <c r="H28" i="4" s="1"/>
  <c r="P28" i="2"/>
  <c r="I28" i="4" s="1"/>
  <c r="Q28" i="2"/>
  <c r="J28" i="4" s="1"/>
  <c r="L27" i="2"/>
  <c r="G27" i="4" s="1"/>
  <c r="M27" i="2"/>
  <c r="H27" i="4" s="1"/>
  <c r="P27" i="2"/>
  <c r="I27" i="4" s="1"/>
  <c r="Q27" i="2"/>
  <c r="J27" i="4" s="1"/>
  <c r="L26" i="2"/>
  <c r="G26" i="4" s="1"/>
  <c r="M26" i="2"/>
  <c r="H26" i="4" s="1"/>
  <c r="P26" i="2"/>
  <c r="I26" i="4" s="1"/>
  <c r="Q26" i="2"/>
  <c r="J26" i="4" s="1"/>
  <c r="L25" i="2"/>
  <c r="G25" i="4" s="1"/>
  <c r="M25" i="2"/>
  <c r="H25" i="4" s="1"/>
  <c r="P25" i="2"/>
  <c r="I25" i="4" s="1"/>
  <c r="Q25" i="2"/>
  <c r="J25" i="4" s="1"/>
  <c r="L24" i="2"/>
  <c r="G24" i="4" s="1"/>
  <c r="M24" i="2"/>
  <c r="H24" i="4" s="1"/>
  <c r="P24" i="2"/>
  <c r="I24" i="4" s="1"/>
  <c r="Q24" i="2"/>
  <c r="J24" i="4" s="1"/>
  <c r="L23" i="2"/>
  <c r="G23" i="4" s="1"/>
  <c r="M23" i="2"/>
  <c r="H23" i="4" s="1"/>
  <c r="P23" i="2"/>
  <c r="I23" i="4" s="1"/>
  <c r="Q23" i="2"/>
  <c r="J23" i="4" s="1"/>
  <c r="L22" i="2"/>
  <c r="G22" i="4" s="1"/>
  <c r="M22" i="2"/>
  <c r="H22" i="4" s="1"/>
  <c r="P22" i="2"/>
  <c r="I22" i="4" s="1"/>
  <c r="Q22" i="2"/>
  <c r="J22" i="4" s="1"/>
  <c r="H6" i="3"/>
  <c r="L21" i="2"/>
  <c r="G21" i="4" s="1"/>
  <c r="M21" i="2"/>
  <c r="H21" i="4" s="1"/>
  <c r="P21" i="2"/>
  <c r="I21" i="4" s="1"/>
  <c r="Q21" i="2"/>
  <c r="J21" i="4" s="1"/>
  <c r="L20" i="2"/>
  <c r="G20" i="4" s="1"/>
  <c r="M20" i="2"/>
  <c r="H20" i="4" s="1"/>
  <c r="P20" i="2"/>
  <c r="I20" i="4" s="1"/>
  <c r="Q20" i="2"/>
  <c r="J20" i="4" s="1"/>
  <c r="L19" i="2"/>
  <c r="G19" i="4" s="1"/>
  <c r="M19" i="2"/>
  <c r="H19" i="4" s="1"/>
  <c r="P19" i="2"/>
  <c r="I19" i="4" s="1"/>
  <c r="Q19" i="2"/>
  <c r="J19" i="4" s="1"/>
  <c r="L18" i="2"/>
  <c r="G18" i="4" s="1"/>
  <c r="M18" i="2"/>
  <c r="H18" i="4" s="1"/>
  <c r="P18" i="2"/>
  <c r="I18" i="4" s="1"/>
  <c r="Q18" i="2"/>
  <c r="J18" i="4" s="1"/>
  <c r="L17" i="2"/>
  <c r="G17" i="4" s="1"/>
  <c r="M17" i="2"/>
  <c r="H17" i="4" s="1"/>
  <c r="P17" i="2"/>
  <c r="I17" i="4" s="1"/>
  <c r="Q17" i="2"/>
  <c r="J17" i="4" s="1"/>
  <c r="L16" i="2"/>
  <c r="G16" i="4" s="1"/>
  <c r="M16" i="2"/>
  <c r="H16" i="4" s="1"/>
  <c r="P16" i="2"/>
  <c r="I16" i="4" s="1"/>
  <c r="Q16" i="2"/>
  <c r="J16" i="4" s="1"/>
  <c r="L15" i="2"/>
  <c r="G15" i="4" s="1"/>
  <c r="M15" i="2"/>
  <c r="H15" i="4" s="1"/>
  <c r="P15" i="2"/>
  <c r="I15" i="4" s="1"/>
  <c r="Q15" i="2"/>
  <c r="J15" i="4" s="1"/>
  <c r="L14" i="2"/>
  <c r="G14" i="4" s="1"/>
  <c r="M14" i="2"/>
  <c r="H14" i="4" s="1"/>
  <c r="P14" i="2"/>
  <c r="I14" i="4" s="1"/>
  <c r="Q14" i="2"/>
  <c r="J14" i="4" s="1"/>
  <c r="L13" i="2"/>
  <c r="G13" i="4" s="1"/>
  <c r="M13" i="2"/>
  <c r="H13" i="4" s="1"/>
  <c r="P13" i="2"/>
  <c r="I13" i="4" s="1"/>
  <c r="Q13" i="2"/>
  <c r="J13" i="4" s="1"/>
  <c r="L12" i="2"/>
  <c r="G12" i="4" s="1"/>
  <c r="M12" i="2"/>
  <c r="H12" i="4" s="1"/>
  <c r="P12" i="2"/>
  <c r="I12" i="4" s="1"/>
  <c r="Q12" i="2"/>
  <c r="J12" i="4" s="1"/>
  <c r="L11" i="2"/>
  <c r="G11" i="4" s="1"/>
  <c r="M11" i="2"/>
  <c r="H11" i="4" s="1"/>
  <c r="P11" i="2"/>
  <c r="I11" i="4" s="1"/>
  <c r="Q11" i="2"/>
  <c r="J11" i="4" s="1"/>
  <c r="L10" i="2"/>
  <c r="G10" i="4" s="1"/>
  <c r="M10" i="2"/>
  <c r="H10" i="4" s="1"/>
  <c r="P10" i="2"/>
  <c r="I10" i="4" s="1"/>
  <c r="Q10" i="2"/>
  <c r="J10" i="4" s="1"/>
  <c r="L9" i="2"/>
  <c r="G9" i="4" s="1"/>
  <c r="M9" i="2"/>
  <c r="H9" i="4" s="1"/>
  <c r="P9" i="2"/>
  <c r="I9" i="4" s="1"/>
  <c r="Q9" i="2"/>
  <c r="J9" i="4" s="1"/>
  <c r="L8" i="2"/>
  <c r="G8" i="4" s="1"/>
  <c r="M8" i="2"/>
  <c r="H8" i="4" s="1"/>
  <c r="P8" i="2"/>
  <c r="I8" i="4" s="1"/>
  <c r="Q8" i="2"/>
  <c r="J8" i="4" s="1"/>
  <c r="L7" i="2"/>
  <c r="G7" i="4" s="1"/>
  <c r="M7" i="2"/>
  <c r="H7" i="4" s="1"/>
  <c r="P7" i="2"/>
  <c r="I7" i="4" s="1"/>
  <c r="Q7" i="2"/>
  <c r="J7" i="4" s="1"/>
  <c r="L6" i="2"/>
  <c r="G6" i="4" s="1"/>
  <c r="M6" i="2"/>
  <c r="H6" i="4" s="1"/>
  <c r="P6" i="2"/>
  <c r="I6" i="4" s="1"/>
  <c r="Q6" i="2"/>
  <c r="J6" i="4" s="1"/>
  <c r="L5" i="2"/>
  <c r="G5" i="4" s="1"/>
  <c r="M5" i="2"/>
  <c r="H5" i="4" s="1"/>
  <c r="P5" i="2"/>
  <c r="I5" i="4" s="1"/>
  <c r="Q5" i="2"/>
  <c r="J5" i="4" s="1"/>
  <c r="L4" i="2"/>
  <c r="G4" i="4" s="1"/>
  <c r="M4" i="2"/>
  <c r="H4" i="4" s="1"/>
  <c r="P4" i="2"/>
  <c r="I4" i="4" s="1"/>
  <c r="Q4" i="2"/>
  <c r="J4" i="4" s="1"/>
  <c r="L3" i="2"/>
  <c r="G3" i="4" s="1"/>
  <c r="M3" i="2"/>
  <c r="H3" i="4" s="1"/>
  <c r="P3" i="2"/>
  <c r="I3" i="4" s="1"/>
  <c r="Q3" i="2"/>
  <c r="J3" i="4" s="1"/>
  <c r="L2" i="2"/>
  <c r="G2" i="4" s="1"/>
  <c r="M2" i="2"/>
  <c r="P2" i="2"/>
  <c r="Q2" i="2"/>
  <c r="J2" i="4" s="1"/>
  <c r="H5" i="3"/>
  <c r="G231" i="4" l="1"/>
  <c r="C16" i="3"/>
  <c r="E16" i="3"/>
  <c r="G227" i="4"/>
  <c r="G16" i="3"/>
  <c r="H223" i="4"/>
  <c r="F16" i="3"/>
  <c r="I223" i="4"/>
  <c r="G14" i="3"/>
  <c r="H182" i="4"/>
  <c r="F14" i="3"/>
  <c r="I182" i="4"/>
  <c r="G13" i="3"/>
  <c r="H162" i="4"/>
  <c r="F13" i="3"/>
  <c r="I162" i="4"/>
  <c r="G11" i="3"/>
  <c r="H122" i="4"/>
  <c r="F11" i="3"/>
  <c r="I122" i="4"/>
  <c r="G10" i="3"/>
  <c r="H102" i="4"/>
  <c r="F10" i="3"/>
  <c r="I102" i="4"/>
  <c r="G9" i="3"/>
  <c r="H82" i="4"/>
  <c r="F9" i="3"/>
  <c r="I82" i="4"/>
  <c r="G8" i="3"/>
  <c r="H62" i="4"/>
  <c r="F8" i="3"/>
  <c r="I62" i="4"/>
  <c r="G7" i="3"/>
  <c r="H42" i="4"/>
  <c r="F7" i="3"/>
  <c r="I42" i="4"/>
  <c r="G5" i="3"/>
  <c r="H2" i="4"/>
  <c r="F5" i="3"/>
  <c r="I2" i="4"/>
  <c r="C15" i="3"/>
  <c r="R202" i="2" s="1"/>
  <c r="E15" i="3"/>
  <c r="C14" i="3"/>
  <c r="R182" i="2" s="1"/>
  <c r="E14" i="3"/>
  <c r="C13" i="3"/>
  <c r="R162" i="2" s="1"/>
  <c r="E13" i="3"/>
  <c r="C12" i="3"/>
  <c r="R142" i="2" s="1"/>
  <c r="E12" i="3"/>
  <c r="C11" i="3"/>
  <c r="R122" i="2" s="1"/>
  <c r="E11" i="3"/>
  <c r="C10" i="3"/>
  <c r="R102" i="2" s="1"/>
  <c r="E10" i="3"/>
  <c r="E9" i="3"/>
  <c r="C9" i="3"/>
  <c r="R82" i="2" s="1"/>
  <c r="C8" i="3"/>
  <c r="R62" i="2" s="1"/>
  <c r="E8" i="3"/>
  <c r="C7" i="3"/>
  <c r="R42" i="2" s="1"/>
  <c r="E7" i="3"/>
  <c r="C6" i="3"/>
  <c r="R22" i="2" s="1"/>
  <c r="E6" i="3"/>
  <c r="E5" i="3"/>
  <c r="C5" i="3"/>
  <c r="R2" i="2" s="1"/>
  <c r="G15" i="3"/>
  <c r="F15" i="3"/>
  <c r="G12" i="3"/>
  <c r="F12" i="3"/>
  <c r="G6" i="3"/>
  <c r="F6" i="3"/>
  <c r="R222" i="2" l="1"/>
  <c r="R241" i="2"/>
  <c r="R239" i="2"/>
  <c r="R238" i="2"/>
  <c r="R237" i="2"/>
  <c r="R236" i="2"/>
  <c r="R235" i="2"/>
  <c r="R234" i="2"/>
  <c r="R232" i="2"/>
  <c r="R231" i="2"/>
  <c r="R230" i="2"/>
  <c r="R229" i="2"/>
  <c r="R227" i="2"/>
  <c r="R226" i="2"/>
  <c r="R225" i="2"/>
  <c r="R224" i="2"/>
  <c r="R233" i="2"/>
  <c r="R240" i="2"/>
  <c r="R228" i="2"/>
  <c r="R223" i="2"/>
  <c r="R211" i="2"/>
  <c r="R212" i="2"/>
  <c r="R213" i="2"/>
  <c r="R214" i="2"/>
  <c r="R215" i="2"/>
  <c r="R216" i="2"/>
  <c r="R217" i="2"/>
  <c r="R218" i="2"/>
  <c r="R219" i="2"/>
  <c r="R220" i="2"/>
  <c r="R221" i="2"/>
  <c r="R203" i="2"/>
  <c r="R204" i="2"/>
  <c r="R205" i="2"/>
  <c r="R206" i="2"/>
  <c r="R207" i="2"/>
  <c r="R208" i="2"/>
  <c r="R209" i="2"/>
  <c r="R210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164" i="2"/>
  <c r="R165" i="2"/>
  <c r="R166" i="2"/>
  <c r="R163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51" i="2"/>
  <c r="R155" i="2"/>
  <c r="R157" i="2"/>
  <c r="R158" i="2"/>
  <c r="R161" i="2"/>
  <c r="R143" i="2"/>
  <c r="R144" i="2"/>
  <c r="R145" i="2"/>
  <c r="R146" i="2"/>
  <c r="R147" i="2"/>
  <c r="R148" i="2"/>
  <c r="R149" i="2"/>
  <c r="R150" i="2"/>
  <c r="R152" i="2"/>
  <c r="R153" i="2"/>
  <c r="R154" i="2"/>
  <c r="R156" i="2"/>
  <c r="R159" i="2"/>
  <c r="R160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06" i="2"/>
  <c r="R110" i="2"/>
  <c r="R113" i="2"/>
  <c r="R105" i="2"/>
  <c r="R111" i="2"/>
  <c r="R115" i="2"/>
  <c r="R118" i="2"/>
  <c r="R103" i="2"/>
  <c r="R108" i="2"/>
  <c r="R112" i="2"/>
  <c r="R116" i="2"/>
  <c r="R117" i="2"/>
  <c r="R119" i="2"/>
  <c r="R120" i="2"/>
  <c r="R121" i="2"/>
  <c r="R104" i="2"/>
  <c r="R107" i="2"/>
  <c r="R109" i="2"/>
  <c r="R114" i="2"/>
  <c r="R88" i="2"/>
  <c r="R94" i="2"/>
  <c r="R98" i="2"/>
  <c r="R85" i="2"/>
  <c r="R87" i="2"/>
  <c r="R89" i="2"/>
  <c r="R92" i="2"/>
  <c r="R96" i="2"/>
  <c r="R99" i="2"/>
  <c r="R84" i="2"/>
  <c r="R90" i="2"/>
  <c r="R95" i="2"/>
  <c r="R97" i="2"/>
  <c r="R101" i="2"/>
  <c r="R83" i="2"/>
  <c r="R86" i="2"/>
  <c r="R91" i="2"/>
  <c r="R93" i="2"/>
  <c r="R100" i="2"/>
  <c r="R64" i="2"/>
  <c r="R72" i="2"/>
  <c r="R79" i="2"/>
  <c r="R67" i="2"/>
  <c r="R69" i="2"/>
  <c r="R73" i="2"/>
  <c r="R77" i="2"/>
  <c r="R63" i="2"/>
  <c r="R65" i="2"/>
  <c r="R68" i="2"/>
  <c r="R71" i="2"/>
  <c r="R75" i="2"/>
  <c r="R78" i="2"/>
  <c r="R66" i="2"/>
  <c r="R70" i="2"/>
  <c r="R74" i="2"/>
  <c r="R76" i="2"/>
  <c r="R80" i="2"/>
  <c r="R81" i="2"/>
  <c r="R45" i="2"/>
  <c r="R47" i="2"/>
  <c r="R49" i="2"/>
  <c r="R53" i="2"/>
  <c r="R55" i="2"/>
  <c r="R58" i="2"/>
  <c r="R50" i="2"/>
  <c r="R54" i="2"/>
  <c r="R59" i="2"/>
  <c r="R43" i="2"/>
  <c r="R46" i="2"/>
  <c r="R48" i="2"/>
  <c r="R51" i="2"/>
  <c r="R52" i="2"/>
  <c r="R56" i="2"/>
  <c r="R60" i="2"/>
  <c r="R61" i="2"/>
  <c r="R44" i="2"/>
  <c r="R57" i="2"/>
  <c r="R33" i="2"/>
  <c r="R23" i="2"/>
  <c r="R24" i="2"/>
  <c r="R25" i="2"/>
  <c r="R26" i="2"/>
  <c r="R27" i="2"/>
  <c r="R28" i="2"/>
  <c r="R29" i="2"/>
  <c r="R30" i="2"/>
  <c r="R31" i="2"/>
  <c r="R34" i="2"/>
  <c r="R36" i="2"/>
  <c r="R37" i="2"/>
  <c r="R39" i="2"/>
  <c r="R41" i="2"/>
  <c r="R32" i="2"/>
  <c r="R35" i="2"/>
  <c r="R38" i="2"/>
  <c r="R4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D16" i="3" l="1"/>
  <c r="D10" i="3"/>
  <c r="D15" i="3"/>
  <c r="D14" i="3"/>
  <c r="D9" i="3"/>
  <c r="D8" i="3"/>
  <c r="D7" i="3"/>
  <c r="D6" i="3"/>
  <c r="D11" i="3"/>
  <c r="D5" i="3"/>
  <c r="D13" i="3"/>
  <c r="D12" i="3"/>
</calcChain>
</file>

<file path=xl/sharedStrings.xml><?xml version="1.0" encoding="utf-8"?>
<sst xmlns="http://schemas.openxmlformats.org/spreadsheetml/2006/main" count="1692" uniqueCount="403">
  <si>
    <t>Coleta de baseline (Período A): 12 fluxos × 20 rajadas</t>
  </si>
  <si>
    <t>Como preencher (aba Coleta)</t>
  </si>
  <si>
    <t>1. Rode um ping de aquecimento no Probe (para o ARP não distorcer) e só depois a rajada: ping -n 3 &lt;IP do Alvo&gt;.</t>
  </si>
  <si>
    <t>2. Para cada rajada, preencha a linha do fluxo: timestamp (UTC) e os 3 tempos em rtt1, rtt2 e rtt3 (células amarelas, texto azul).</t>
  </si>
  <si>
    <t>3. Tempo exibido como &lt;1ms: digite 0.5. Tempo em ms: digite o número (ex.: 12).</t>
  </si>
  <si>
    <t>4. Pacote sem resposta (Request timed out ou Destination host unreachable): digite T (nunca 0).</t>
  </si>
  <si>
    <t>5. Todo o resto é calculado por fórmula: sent, rcvd, latência, perda, jitter, timeout e a aba Baseline.</t>
  </si>
  <si>
    <t>Exemplo (não faz parte dos dados)</t>
  </si>
  <si>
    <t>Rajada: Request timed out, 12 ms, 1 ms → rtt1 = T, rtt2 = 12, rtt3 = 1 → sent 3, rcvd 2, latência 6,5 ms, perda 33,3%, jitter 11 ms, timeout 0.</t>
  </si>
  <si>
    <t>Timestamp de exemplo: 2026-10-17T18:30:00Z</t>
  </si>
  <si>
    <t>Critérios adotados</t>
  </si>
  <si>
    <t>• latencia_ms = média dos RTT válidos da rajada; vazio se rcvd = 0 (nunca 0).</t>
  </si>
  <si>
    <t>• perda_pct = (sent − rcvd) / sent × 100.</t>
  </si>
  <si>
    <t>• jitter_ms = média de |Δrtt| entre pings consecutivos que responderam (critério do README do repositório). Vazio se não há dois pings consecutivos válidos.</t>
  </si>
  <si>
    <t>• timeout_atual = 1 se rcvd = 0 (sem RTT); senão 0.</t>
  </si>
  <si>
    <t>• Baseline: mediana, MAD (mediana de |latência − mediana|), IQR (Q3 − Q1), jitter típico (mediana), perda típica (média) e taxa de resposta (Σrcvd / Σsent), calculados sobre as rajadas de cada fluxo.</t>
  </si>
  <si>
    <t>• Decisão de montagem: 20 rajadas por fluxo (60 RTT), abaixo do piso de 1.500 RTT do repositório; no repositório isso seria baseline_insuficiente.</t>
  </si>
  <si>
    <t>Exportar o CSV: quando terminar, abra a aba medicoes_pt e use Arquivo → Salvar como → CSV (só a aba ativa é salva) em data/medicoes_pt.csv.</t>
  </si>
  <si>
    <t>rajada</t>
  </si>
  <si>
    <t>fluxo_id</t>
  </si>
  <si>
    <t>probe_id</t>
  </si>
  <si>
    <t>periodo</t>
  </si>
  <si>
    <t>cenario</t>
  </si>
  <si>
    <t>timestamp (UTC)</t>
  </si>
  <si>
    <t>rtt1</t>
  </si>
  <si>
    <t>rtt2</t>
  </si>
  <si>
    <t>rtt3</t>
  </si>
  <si>
    <t>sent</t>
  </si>
  <si>
    <t>rcvd</t>
  </si>
  <si>
    <t>latencia_ms</t>
  </si>
  <si>
    <t>perda_pct</t>
  </si>
  <si>
    <t>|Δ| 1-2</t>
  </si>
  <si>
    <t>|Δ| 2-3</t>
  </si>
  <si>
    <t>jitter_ms</t>
  </si>
  <si>
    <t>timeout_atual</t>
  </si>
  <si>
    <t>|lat − mediana|</t>
  </si>
  <si>
    <t>Probe-BR|192.168.10.10</t>
  </si>
  <si>
    <t>Probe-BR</t>
  </si>
  <si>
    <t>A</t>
  </si>
  <si>
    <t>Normal</t>
  </si>
  <si>
    <t>Probe-BR|192.168.11.10</t>
  </si>
  <si>
    <t>Probe-BR|192.168.12.10</t>
  </si>
  <si>
    <t>Probe-BR|192.168.42.10</t>
  </si>
  <si>
    <t>Probe-BR|192.168.40.10</t>
  </si>
  <si>
    <t>Probe-BR|192.168.30.10</t>
  </si>
  <si>
    <t>Probe-DE|192.168.20.10</t>
  </si>
  <si>
    <t>Probe-DE</t>
  </si>
  <si>
    <t>Probe-DE|192.168.21.10</t>
  </si>
  <si>
    <t>Probe-AR|192.168.13.10</t>
  </si>
  <si>
    <t>Probe-AR</t>
  </si>
  <si>
    <t>Probe-ES|192.168.23.10</t>
  </si>
  <si>
    <t>Probe-ES</t>
  </si>
  <si>
    <t>Probe-ZA|192.168.31.10</t>
  </si>
  <si>
    <t>Probe-ZA</t>
  </si>
  <si>
    <t>Probe-IN|192.168.41.10</t>
  </si>
  <si>
    <t>Probe-IN</t>
  </si>
  <si>
    <t>Ficha de baseline por fluxo (Período A)</t>
  </si>
  <si>
    <t>Calculada por fórmula a partir da aba Coleta. Latências em ms.</t>
  </si>
  <si>
    <t>rota</t>
  </si>
  <si>
    <t>mediana_ms</t>
  </si>
  <si>
    <t>MAD_ms</t>
  </si>
  <si>
    <t>IQR_ms</t>
  </si>
  <si>
    <t>jitter típico (ms)</t>
  </si>
  <si>
    <t>perda típica (%)</t>
  </si>
  <si>
    <t>taxa de resposta</t>
  </si>
  <si>
    <t>rajadas coletadas</t>
  </si>
  <si>
    <t>status</t>
  </si>
  <si>
    <t>BR → BR</t>
  </si>
  <si>
    <t>BR → UY</t>
  </si>
  <si>
    <t>BR → BO</t>
  </si>
  <si>
    <t>BR → JP</t>
  </si>
  <si>
    <t>BR → IN</t>
  </si>
  <si>
    <t>BR → ZA</t>
  </si>
  <si>
    <t>DE → DE</t>
  </si>
  <si>
    <t>DE → PT</t>
  </si>
  <si>
    <t>AR → AR</t>
  </si>
  <si>
    <t>ES → PL</t>
  </si>
  <si>
    <t>ZA → KE</t>
  </si>
  <si>
    <t>IN → SG</t>
  </si>
  <si>
    <t>Nota: 20 rajadas por fluxo (60 RTT) é a versão reduzida da ATA; abaixo do piso de 1.500 RTT do repositório (baseline_insuficiente).</t>
  </si>
  <si>
    <t>timestamp</t>
  </si>
  <si>
    <t>2026-10-18T01:50:00Z</t>
  </si>
  <si>
    <t>2026-10-18T02:08:00Z</t>
  </si>
  <si>
    <t>2026-10-18T02:15:00Z</t>
  </si>
  <si>
    <t>2026-10-18T02:20:00Z</t>
  </si>
  <si>
    <t>2026-10-18T02:36:00Z</t>
  </si>
  <si>
    <t>2026-10-18T02:39:00Z</t>
  </si>
  <si>
    <t>2026-10-18T02:40:00Z</t>
  </si>
  <si>
    <t>2026-10-18T02:43:00Z</t>
  </si>
  <si>
    <t>2026-10-18T02:46:00Z</t>
  </si>
  <si>
    <t>2026-10-18T02:49:00Z</t>
  </si>
  <si>
    <t>2026-10-18T02:51:00Z</t>
  </si>
  <si>
    <t>2026-10-18T02:53:00Z</t>
  </si>
  <si>
    <t>2026-10-18T02:55:00Z</t>
  </si>
  <si>
    <t>2026-10-18T02:57:00Z</t>
  </si>
  <si>
    <t>2026-10-18T02:59:00Z</t>
  </si>
  <si>
    <t>2026-10-18T03:01:00Z</t>
  </si>
  <si>
    <t>2026-10-18T03:03:00Z</t>
  </si>
  <si>
    <t>2026-10-18T03:04:00Z</t>
  </si>
  <si>
    <t>2026-10-18T03:06:00Z</t>
  </si>
  <si>
    <t>2026-10-18T03:09:00Z</t>
  </si>
  <si>
    <t>2026-10-18T03:11:00Z</t>
  </si>
  <si>
    <t>T</t>
  </si>
  <si>
    <t>2026-10-18T03:14:00Z</t>
  </si>
  <si>
    <t>2026-10-18T03:23:00Z</t>
  </si>
  <si>
    <t>2026-10-18T03:25:00Z</t>
  </si>
  <si>
    <t>2026-10-18T03:27:00Z</t>
  </si>
  <si>
    <t>2026-10-18T03:30:00Z</t>
  </si>
  <si>
    <t>2026-10-18T03:31:00Z</t>
  </si>
  <si>
    <t>2026-10-18T03:32:00Z</t>
  </si>
  <si>
    <t>2026-10-18T03:34:00Z</t>
  </si>
  <si>
    <t>2026-10-18T03:36:00Z</t>
  </si>
  <si>
    <t>2026-10-18T03:38:00Z</t>
  </si>
  <si>
    <t>2026-10-18T03:39:00Z</t>
  </si>
  <si>
    <t>2026-10-18T03:41:00Z</t>
  </si>
  <si>
    <t>2026-10-18T03:42:00Z</t>
  </si>
  <si>
    <t>2026-10-18T03:43:00Z</t>
  </si>
  <si>
    <t>2026-10-18T03:44:00Z</t>
  </si>
  <si>
    <t>2026-10-18T03:45:00Z</t>
  </si>
  <si>
    <t>2026-10-18T03:46:00Z</t>
  </si>
  <si>
    <t>2026-10-18T03:47:00Z</t>
  </si>
  <si>
    <t>2026-10-18T03:48:00Z</t>
  </si>
  <si>
    <t>2026-10-18T03:52:00Z</t>
  </si>
  <si>
    <t>2026-10-18T03:54:00Z</t>
  </si>
  <si>
    <t>2026-10-18T03:55:00Z</t>
  </si>
  <si>
    <t>2026-10-18T03:57:00Z</t>
  </si>
  <si>
    <t>2026-10-18T04:00:00Z</t>
  </si>
  <si>
    <t>2026-10-18T04:01:00Z</t>
  </si>
  <si>
    <t>2026-10-18T04:03:00Z</t>
  </si>
  <si>
    <t>2026-10-18T04:04:00Z</t>
  </si>
  <si>
    <t>2026-10-18T04:06:00Z</t>
  </si>
  <si>
    <t>2026-10-18T04:07:00Z</t>
  </si>
  <si>
    <t>2026-10-18T04:09:00Z</t>
  </si>
  <si>
    <t>2026-10-18T04:11:00Z</t>
  </si>
  <si>
    <t>2026-10-18T04:13:00Z</t>
  </si>
  <si>
    <t>2026-10-18T04:16:00Z</t>
  </si>
  <si>
    <t>2026-10-18T04:17:00Z</t>
  </si>
  <si>
    <t>2026-10-18T04:19:00Z</t>
  </si>
  <si>
    <t>2026-10-18T04:20:00Z</t>
  </si>
  <si>
    <t>2026-10-18T04:21:00Z</t>
  </si>
  <si>
    <t>2026-10-18T04:23:00Z</t>
  </si>
  <si>
    <t>2026-10-18T04:24:00Z</t>
  </si>
  <si>
    <t>2026-10-18T04:38:00Z</t>
  </si>
  <si>
    <t>2026-10-18T04:40:00Z</t>
  </si>
  <si>
    <t>2026-10-18T04:42:00Z</t>
  </si>
  <si>
    <t>2026-10-18T04:44:00Z</t>
  </si>
  <si>
    <t>2026-10-18T04:45:00Z</t>
  </si>
  <si>
    <t>2026-10-18T04:47:00Z</t>
  </si>
  <si>
    <t>2026-10-18T04:48:00Z</t>
  </si>
  <si>
    <t>2026-10-18T04:51:00Z</t>
  </si>
  <si>
    <t>2026-10-18T04:52:00Z</t>
  </si>
  <si>
    <t>2026-10-18T04:54:00Z</t>
  </si>
  <si>
    <t>2026-10-18T04:56:00Z</t>
  </si>
  <si>
    <t>2026-10-18T04:59:00Z</t>
  </si>
  <si>
    <t>2026-10-18T05:00:00Z</t>
  </si>
  <si>
    <t>2026-10-18T05:02:00Z</t>
  </si>
  <si>
    <t>2026-10-18T05:03:00Z</t>
  </si>
  <si>
    <t>2026-10-18T05:05:00Z</t>
  </si>
  <si>
    <t>2026-10-18T05:07:00Z</t>
  </si>
  <si>
    <t>2026-10-18T05:09:00Z</t>
  </si>
  <si>
    <t>2026-10-18T05:11:00Z</t>
  </si>
  <si>
    <t>2026-10-18T05:14:00Z</t>
  </si>
  <si>
    <t>2026-10-18T05:23:00Z</t>
  </si>
  <si>
    <t>2026-10-18T05:28:00Z</t>
  </si>
  <si>
    <t>2026-10-18T05:29:00Z</t>
  </si>
  <si>
    <t>2026-10-18T05:31:00Z</t>
  </si>
  <si>
    <t>2026-10-18T05:32:00Z</t>
  </si>
  <si>
    <t>2026-10-18T05:34:00Z</t>
  </si>
  <si>
    <t>2026-10-18T05:36:00Z</t>
  </si>
  <si>
    <t>2026-10-18T05:38:00Z</t>
  </si>
  <si>
    <t>2026-10-18T14:24:00Z</t>
  </si>
  <si>
    <t>2026-10-18T14:26:00Z</t>
  </si>
  <si>
    <t>2026-10-18T14:27:00Z</t>
  </si>
  <si>
    <t>2026-10-18T14:29:00Z</t>
  </si>
  <si>
    <t>2026-10-18T14:30:00Z</t>
  </si>
  <si>
    <t>2026-10-18T14:32:00Z</t>
  </si>
  <si>
    <t>2026-10-18T14:33:00Z</t>
  </si>
  <si>
    <t>2026-10-18T14:35:00Z</t>
  </si>
  <si>
    <t>2026-10-18T14:36:00Z</t>
  </si>
  <si>
    <t>2026-10-18T14:37:00Z</t>
  </si>
  <si>
    <t>2026-10-18T14:38:00Z</t>
  </si>
  <si>
    <t>2026-10-18T14:42:00Z</t>
  </si>
  <si>
    <t>2026-10-18T14:46:00Z</t>
  </si>
  <si>
    <t>2026-10-18T14:47:00Z</t>
  </si>
  <si>
    <t>2026-10-18T14:48:00Z</t>
  </si>
  <si>
    <t>2026-10-18T14:49:00Z</t>
  </si>
  <si>
    <t>2026-10-18T14:51:00Z</t>
  </si>
  <si>
    <t>2026-10-18T14:52:00Z</t>
  </si>
  <si>
    <t>2026-10-18T14:53:00Z</t>
  </si>
  <si>
    <t>2026-10-18T14:54:00Z</t>
  </si>
  <si>
    <t>2026-10-18T14:56:00Z</t>
  </si>
  <si>
    <t>2026-10-18T14:57:00Z</t>
  </si>
  <si>
    <t>2026-10-18T14:59:00Z</t>
  </si>
  <si>
    <t>2026-10-18T15:00:00Z</t>
  </si>
  <si>
    <t>2026-10-18T15:01:00Z</t>
  </si>
  <si>
    <t>2026-10-18T15:02:00Z</t>
  </si>
  <si>
    <t>2026-10-18T15:03:00Z</t>
  </si>
  <si>
    <t>2026-10-18T15:05:00Z</t>
  </si>
  <si>
    <t>2026-10-18T15:06:00Z</t>
  </si>
  <si>
    <t>2026-10-18T15:07:00Z</t>
  </si>
  <si>
    <t>2026-10-18T15:08:00Z</t>
  </si>
  <si>
    <t>2026-10-18T15:09:00Z</t>
  </si>
  <si>
    <t>2026-10-18T15:13:00Z</t>
  </si>
  <si>
    <t>2026-10-18T15:17:00Z</t>
  </si>
  <si>
    <t>2026-10-18T15:18:00Z</t>
  </si>
  <si>
    <t>2026-10-18T15:19:00Z</t>
  </si>
  <si>
    <t>2026-10-18T15:20:00Z</t>
  </si>
  <si>
    <t>2026-10-18T15:21:00Z</t>
  </si>
  <si>
    <t>2026-10-18T15:22:00Z</t>
  </si>
  <si>
    <t>2026-10-18T15:24:00Z</t>
  </si>
  <si>
    <t>2026-10-18T15:25:00Z</t>
  </si>
  <si>
    <t>2026-10-18T15:26:00Z</t>
  </si>
  <si>
    <t>2026-10-18T15:27:00Z</t>
  </si>
  <si>
    <t>2026-10-18T15:28:00Z</t>
  </si>
  <si>
    <t>2026-10-18T15:31:00Z</t>
  </si>
  <si>
    <t>2026-10-18T15:32:00Z</t>
  </si>
  <si>
    <t>2026-10-18T15:33:00Z</t>
  </si>
  <si>
    <t>2026-10-18T15:34:00Z</t>
  </si>
  <si>
    <t>2026-10-18T15:35:00Z</t>
  </si>
  <si>
    <t>2026-10-18T15:37:00Z</t>
  </si>
  <si>
    <t>2026-10-18T15:39:00Z</t>
  </si>
  <si>
    <t>2026-10-18T15:41:00Z</t>
  </si>
  <si>
    <t>2026-10-18T16:18:00Z</t>
  </si>
  <si>
    <t>2026-10-18T16:19:00Z</t>
  </si>
  <si>
    <t>2026-10-18T16:21:00Z</t>
  </si>
  <si>
    <t>2026-10-18T16:22:00Z</t>
  </si>
  <si>
    <t>2026-10-18T16:23:00Z</t>
  </si>
  <si>
    <t>2026-10-18T16:25:00Z</t>
  </si>
  <si>
    <t>2026-10-18T16:26:00Z</t>
  </si>
  <si>
    <t>2026-10-18T16:27:00Z</t>
  </si>
  <si>
    <t>2026-10-18T16:28:00Z</t>
  </si>
  <si>
    <t>2026-10-18T16:31:00Z</t>
  </si>
  <si>
    <t>2026-10-18T16:32:00Z</t>
  </si>
  <si>
    <t>2026-10-18T16:34:00Z</t>
  </si>
  <si>
    <t>2026-10-18T16:35:00Z</t>
  </si>
  <si>
    <t>2026-10-18T16:36:00Z</t>
  </si>
  <si>
    <t>2026-10-18T16:37:00Z</t>
  </si>
  <si>
    <t>2026-10-18T16:38:00Z</t>
  </si>
  <si>
    <t>2026-10-18T16:40:00Z</t>
  </si>
  <si>
    <t>2026-10-18T16:42:00Z</t>
  </si>
  <si>
    <t>2026-10-18T16:44:00Z</t>
  </si>
  <si>
    <t>2026-10-18T16:54:00Z</t>
  </si>
  <si>
    <t>2026-10-18T16:56:00Z</t>
  </si>
  <si>
    <t>2026-10-18T16:58:00Z</t>
  </si>
  <si>
    <t>2026-10-18T17:00:00Z</t>
  </si>
  <si>
    <t>2026-10-18T17:01:00Z</t>
  </si>
  <si>
    <t>2026-10-18T17:03:00Z</t>
  </si>
  <si>
    <t>2026-10-18T17:04:00Z</t>
  </si>
  <si>
    <t>2026-10-18T17:05:00Z</t>
  </si>
  <si>
    <t>2026-10-18T17:06:00Z</t>
  </si>
  <si>
    <t>2026-10-18T17:09:00Z</t>
  </si>
  <si>
    <t>2026-10-18T17:10:00Z</t>
  </si>
  <si>
    <t>2026-10-18T17:12:00Z</t>
  </si>
  <si>
    <t>2026-10-18T17:24:00Z</t>
  </si>
  <si>
    <t>2026-10-18T17:26:00Z</t>
  </si>
  <si>
    <t>2026-10-18T17:27:00Z</t>
  </si>
  <si>
    <t>2026-10-18T17:29:00Z</t>
  </si>
  <si>
    <t>2026-10-18T17:30:00Z</t>
  </si>
  <si>
    <t>2026-10-18T17:32:00Z</t>
  </si>
  <si>
    <t>2026-10-18T17:33:00Z</t>
  </si>
  <si>
    <t>2026-10-18T17:35:00Z</t>
  </si>
  <si>
    <t>2026-10-18T17:46:00Z</t>
  </si>
  <si>
    <t>2026-10-18T17:48:00Z</t>
  </si>
  <si>
    <t>2026-10-18T17:49:00Z</t>
  </si>
  <si>
    <t>2026-10-18T17:50:00Z</t>
  </si>
  <si>
    <t>2026-10-18T17:51:00Z</t>
  </si>
  <si>
    <t>2026-10-18T17:52:00Z</t>
  </si>
  <si>
    <t>2026-10-18T17:53:00Z</t>
  </si>
  <si>
    <t>2026-10-18T17:54:00Z</t>
  </si>
  <si>
    <t>2026-10-18T17:56:00Z</t>
  </si>
  <si>
    <t>2026-10-18T17:58:00Z</t>
  </si>
  <si>
    <t>2026-10-18T18:00:00Z</t>
  </si>
  <si>
    <t>2026-10-18T18:01:00Z</t>
  </si>
  <si>
    <t>2026-10-18T18:04:00Z</t>
  </si>
  <si>
    <t>2026-10-18T18:06:00Z</t>
  </si>
  <si>
    <t>2026-10-18T18:07:00Z</t>
  </si>
  <si>
    <t>2026-10-18T18:08:00Z</t>
  </si>
  <si>
    <t>2026-10-18T18:10:00Z</t>
  </si>
  <si>
    <t>2026-10-18T18:11:00Z</t>
  </si>
  <si>
    <t>2026-10-18T18:12:00Z</t>
  </si>
  <si>
    <t>2026-10-18T18:14:00Z</t>
  </si>
  <si>
    <t>2026-10-18T18:15:00Z</t>
  </si>
  <si>
    <t>2026-10-18T18:17:00Z</t>
  </si>
  <si>
    <t>2026-10-18T18:18:00Z</t>
  </si>
  <si>
    <t>2026-10-18T18:19:00Z</t>
  </si>
  <si>
    <t>2026-10-18T18:21:00Z</t>
  </si>
  <si>
    <t>2026-10-18T18:22:00Z</t>
  </si>
  <si>
    <t>2026-10-18T18:23:00Z</t>
  </si>
  <si>
    <t>2026-10-18T18:25:00Z</t>
  </si>
  <si>
    <t>2026-10-18T18:26:00Z</t>
  </si>
  <si>
    <t>2026-10-18T18:29:00Z</t>
  </si>
  <si>
    <t>2026-10-18T18:30:00Z</t>
  </si>
  <si>
    <t>2026-10-18T18:31:00Z</t>
  </si>
  <si>
    <t>2026-10-18T18:32:00Z</t>
  </si>
  <si>
    <t>2026-10-18T18:34:00Z</t>
  </si>
  <si>
    <t>2026-10-18T18:37:00Z</t>
  </si>
  <si>
    <t>2026-10-18T18:39:00Z</t>
  </si>
  <si>
    <t>2026-10-18T18:40:00Z</t>
  </si>
  <si>
    <t>2026-10-18T18:42:00Z</t>
  </si>
  <si>
    <t>2026-10-18T18:43:00Z</t>
  </si>
  <si>
    <t>2026-10-18T18:44:00Z</t>
  </si>
  <si>
    <t>2026-10-18T19:07:00Z</t>
  </si>
  <si>
    <t>2026-10-18T19:10:00Z</t>
  </si>
  <si>
    <t>2026-10-18T19:11:00Z</t>
  </si>
  <si>
    <t>2026-10-18T19:13:00Z</t>
  </si>
  <si>
    <t>2026-10-18T19:15:00Z</t>
  </si>
  <si>
    <t>2026-10-18T19:16:00Z</t>
  </si>
  <si>
    <t>2026-10-18T19:18:00Z</t>
  </si>
  <si>
    <t>2026-10-18T19:19:00Z</t>
  </si>
  <si>
    <t>2026-10-18T19:21:00Z</t>
  </si>
  <si>
    <t>2026-10-18T19:22:00Z</t>
  </si>
  <si>
    <t>2026-10-18T19:24:00Z</t>
  </si>
  <si>
    <t>2026-10-18T19:26:00Z</t>
  </si>
  <si>
    <t>2026-10-18T19:27:00Z</t>
  </si>
  <si>
    <t>2026-10-18T19:28:00Z</t>
  </si>
  <si>
    <t>2026-10-18T19:30:00Z</t>
  </si>
  <si>
    <t>2026-10-18T19:31:00Z</t>
  </si>
  <si>
    <t>2026-10-18T19:32:00Z</t>
  </si>
  <si>
    <t>2026-10-18T19:33:00Z</t>
  </si>
  <si>
    <t>2026-10-18T19:35:00Z</t>
  </si>
  <si>
    <t>2026-10-18T19:36:00Z</t>
  </si>
  <si>
    <t>2026-10-18T20:20:00Z</t>
  </si>
  <si>
    <t>B</t>
  </si>
  <si>
    <t>2026-10-18T20:43:00Z</t>
  </si>
  <si>
    <t>2026-10-18T20:44:00Z</t>
  </si>
  <si>
    <t>2026-10-18T20:47:00Z</t>
  </si>
  <si>
    <t>2026-10-18T20:48:00Z</t>
  </si>
  <si>
    <t>2026-10-18T20:49:00Z</t>
  </si>
  <si>
    <t>2026-10-18T20:50:00Z</t>
  </si>
  <si>
    <t>2026-10-18T20:52:00Z</t>
  </si>
  <si>
    <t>2026-10-18T20:53:00Z</t>
  </si>
  <si>
    <t>2026-10-18T20:54:00Z</t>
  </si>
  <si>
    <t>2026-10-18T20:55:00Z</t>
  </si>
  <si>
    <t>2026-10-18T20:56:00Z</t>
  </si>
  <si>
    <t>2026-10-18T20:57:00Z</t>
  </si>
  <si>
    <t>2026-10-18T20:58:00Z</t>
  </si>
  <si>
    <t>2026-10-18T20:59:00Z</t>
  </si>
  <si>
    <t>2026-10-18T21:00:00Z</t>
  </si>
  <si>
    <t>2026-10-18T21:01:00Z</t>
  </si>
  <si>
    <t>2026-10-18T21:02:00Z</t>
  </si>
  <si>
    <t>2026-10-18T21:03:00Z</t>
  </si>
  <si>
    <t>Latência elevada</t>
  </si>
  <si>
    <t>2026-10-18T21:31:00Z</t>
  </si>
  <si>
    <t>2026-10-18T21:36:00Z</t>
  </si>
  <si>
    <t>2026-10-18T21:37:00Z</t>
  </si>
  <si>
    <t>2026-10-18T21:38:00Z</t>
  </si>
  <si>
    <t>2026-10-18T21:39:00Z</t>
  </si>
  <si>
    <t>2026-10-18T21:40:00Z</t>
  </si>
  <si>
    <t>2026-10-18T21:41:00Z</t>
  </si>
  <si>
    <t>2026-10-18T21:42:00Z</t>
  </si>
  <si>
    <t>2026-10-18T21:43:00Z</t>
  </si>
  <si>
    <t>2026-10-18T21:44:00Z</t>
  </si>
  <si>
    <t>2026-10-18T21:45:00Z</t>
  </si>
  <si>
    <t>2026-10-18T21:47:00Z</t>
  </si>
  <si>
    <t>2026-10-18T21:48:00Z</t>
  </si>
  <si>
    <t>2026-10-18T21:49:00Z</t>
  </si>
  <si>
    <t>2026-10-18T21:50:00Z</t>
  </si>
  <si>
    <t>2026-10-18T21:51:00Z</t>
  </si>
  <si>
    <t>2026-10-18T21:53:00Z</t>
  </si>
  <si>
    <t>2026-10-18T21:54:00Z</t>
  </si>
  <si>
    <t>2026-10-18T21:55:00Z</t>
  </si>
  <si>
    <t>2026-10-18T22:07:00Z</t>
  </si>
  <si>
    <t>ICMP bloqueado</t>
  </si>
  <si>
    <t>2026-10-18T22:08:00Z</t>
  </si>
  <si>
    <t>2026-10-18T22:09:00Z</t>
  </si>
  <si>
    <t>2026-10-18T22:10:00Z</t>
  </si>
  <si>
    <t>2026-10-18T22:11:00Z</t>
  </si>
  <si>
    <t>2026-10-18T22:12:00Z</t>
  </si>
  <si>
    <t>2026-10-18T22:13:00Z</t>
  </si>
  <si>
    <t>2026-10-18T22:14:00Z</t>
  </si>
  <si>
    <t>2026-10-18T22:15:00Z</t>
  </si>
  <si>
    <t>2026-10-18T22:16:00Z</t>
  </si>
  <si>
    <t>2026-10-18T22:17:00Z</t>
  </si>
  <si>
    <t>2026-10-18T22:18:00Z</t>
  </si>
  <si>
    <t>2026-10-18T22:19:00Z</t>
  </si>
  <si>
    <t>2026-10-18T22:20:00Z</t>
  </si>
  <si>
    <t>2026-10-18T22:23:00Z</t>
  </si>
  <si>
    <t>2026-10-18T22:24:00Z</t>
  </si>
  <si>
    <t>2026-10-18T22:26:00Z</t>
  </si>
  <si>
    <t>2026-10-18T22:28:00Z</t>
  </si>
  <si>
    <t>2026-10-18T22:29:00Z</t>
  </si>
  <si>
    <t>2026-10-18T22:30:00Z</t>
  </si>
  <si>
    <t>2026-10-18T22:42:00Z</t>
  </si>
  <si>
    <t>Queda de enlace</t>
  </si>
  <si>
    <t>2026-10-18T22:43:38Z</t>
  </si>
  <si>
    <t>2026-10-18T22:44:47Z</t>
  </si>
  <si>
    <t>2026-10-18T22:45:59Z</t>
  </si>
  <si>
    <t>2026-10-18T22:47:00Z</t>
  </si>
  <si>
    <t>2026-10-18T22:47:57Z</t>
  </si>
  <si>
    <t>2026-10-18T22:49:05Z</t>
  </si>
  <si>
    <t>2026-10-18T22:50:08Z</t>
  </si>
  <si>
    <t>2026-10-18T22:51:02Z</t>
  </si>
  <si>
    <t>2026-10-18T22:52:12Z</t>
  </si>
  <si>
    <t>2026-10-18T22:53:25Z</t>
  </si>
  <si>
    <t>2026-10-18T22:54:32Z</t>
  </si>
  <si>
    <t>2026-10-18T22:56:21Z</t>
  </si>
  <si>
    <t>2026-10-18T22:57:30Z</t>
  </si>
  <si>
    <t>2026-10-18T22:58:42Z</t>
  </si>
  <si>
    <t>2026-10-18T23:00:25Z</t>
  </si>
  <si>
    <t>2026-10-18T23:01:21Z</t>
  </si>
  <si>
    <t>2026-10-18T23:02:46Z</t>
  </si>
  <si>
    <t>2026-10-18T23:03:49Z</t>
  </si>
  <si>
    <t>2026-10-18T23:05:03Z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</si>
</sst>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12"/>
      <color rgb="FF1F4E79"/>
      <name val="Arial"/>
      <charset val="1"/>
    </font>
    <font>
      <sz val="10"/>
      <color rgb="FF000000"/>
      <name val="Arial"/>
      <charset val="1"/>
    </font>
    <font>
      <b/>
      <sz val="10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4"/>
      <color rgb="FF1F4E79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u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8" fillId="0" borderId="0" xfId="0" applyFont="1"/>
    <xf numFmtId="0" fontId="11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zoomScaleNormal="100" workbookViewId="0"/>
  </sheetViews>
  <sheetFormatPr defaultColWidth="8.6640625" defaultRowHeight="14.4" x14ac:dyDescent="0.3"/>
  <cols>
    <col min="1" max="1" width="140" customWidth="1"/>
  </cols>
  <sheetData>
    <row r="1" spans="1:1" ht="15.6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/>
    </row>
    <row r="10" spans="1:1" x14ac:dyDescent="0.3">
      <c r="A10" s="3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/>
    </row>
    <row r="14" spans="1:1" x14ac:dyDescent="0.3">
      <c r="A14" s="3" t="s">
        <v>10</v>
      </c>
    </row>
    <row r="15" spans="1:1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 t="s">
        <v>16</v>
      </c>
    </row>
    <row r="21" spans="1:1" x14ac:dyDescent="0.3">
      <c r="A21" s="2"/>
    </row>
    <row r="22" spans="1:1" x14ac:dyDescent="0.3">
      <c r="A22" s="2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1"/>
  <sheetViews>
    <sheetView zoomScaleNormal="100" workbookViewId="0">
      <pane xSplit="2" ySplit="1" topLeftCell="C225" activePane="bottomRight" state="frozen"/>
      <selection pane="topRight" activeCell="C1" sqref="C1"/>
      <selection pane="bottomLeft" activeCell="A2" sqref="A2"/>
      <selection pane="bottomRight" activeCell="B42" sqref="B42"/>
    </sheetView>
  </sheetViews>
  <sheetFormatPr defaultColWidth="8.6640625" defaultRowHeight="14.4" x14ac:dyDescent="0.3"/>
  <cols>
    <col min="1" max="1" width="8" customWidth="1"/>
    <col min="2" max="2" width="24" customWidth="1"/>
    <col min="3" max="3" width="11" customWidth="1"/>
    <col min="4" max="4" width="8" customWidth="1"/>
    <col min="5" max="5" width="10" customWidth="1"/>
    <col min="6" max="6" width="22" customWidth="1"/>
    <col min="7" max="9" width="8" customWidth="1"/>
    <col min="10" max="11" width="7" customWidth="1"/>
    <col min="12" max="12" width="12" customWidth="1"/>
    <col min="13" max="13" width="10" customWidth="1"/>
    <col min="14" max="15" width="9" customWidth="1"/>
    <col min="16" max="16" width="10" customWidth="1"/>
    <col min="17" max="17" width="12" customWidth="1"/>
    <col min="18" max="18" width="13" customWidth="1"/>
  </cols>
  <sheetData>
    <row r="1" spans="1:18" ht="30" customHeight="1" x14ac:dyDescent="0.3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</row>
    <row r="2" spans="1:18" x14ac:dyDescent="0.3">
      <c r="A2" s="5">
        <v>1</v>
      </c>
      <c r="B2" s="5" t="s">
        <v>36</v>
      </c>
      <c r="C2" s="5" t="s">
        <v>37</v>
      </c>
      <c r="D2" s="5" t="s">
        <v>38</v>
      </c>
      <c r="E2" s="5" t="s">
        <v>39</v>
      </c>
      <c r="F2" s="18" t="s">
        <v>81</v>
      </c>
      <c r="G2" s="6">
        <v>0.5</v>
      </c>
      <c r="H2" s="6">
        <v>0.5</v>
      </c>
      <c r="I2" s="17">
        <v>0.5</v>
      </c>
      <c r="J2" s="5">
        <f t="shared" ref="J2:J65" si="0">IF(COUNTA(G2:I2)=0,"",3)</f>
        <v>3</v>
      </c>
      <c r="K2" s="5">
        <f t="shared" ref="K2:K65" si="1">IF(J2="","",COUNT(G2:I2))</f>
        <v>3</v>
      </c>
      <c r="L2" s="7">
        <f t="shared" ref="L2:L65" si="2">IF(OR(K2="",K2=0),"",AVERAGE(G2:I2))</f>
        <v>0.5</v>
      </c>
      <c r="M2" s="7">
        <f t="shared" ref="M2:M65" si="3">IF(K2="","",(J2-K2)/J2*100)</f>
        <v>0</v>
      </c>
      <c r="N2" s="7">
        <f t="shared" ref="N2:N65" si="4">IF(AND(ISNUMBER(G2),ISNUMBER(H2)),ABS(H2-G2),"")</f>
        <v>0</v>
      </c>
      <c r="O2" s="7">
        <f t="shared" ref="O2:O65" si="5">IF(AND(ISNUMBER(H2),ISNUMBER(I2)),ABS(I2-H2),"")</f>
        <v>0</v>
      </c>
      <c r="P2" s="7">
        <f t="shared" ref="P2:P65" si="6">IF(K2="","",IFERROR(AVERAGE(N2,O2),""))</f>
        <v>0</v>
      </c>
      <c r="Q2" s="5">
        <f t="shared" ref="Q2:Q65" si="7">IF(K2="","",IF(K2=0,1,0))</f>
        <v>0</v>
      </c>
      <c r="R2" s="7">
        <f>IF(OR(L2="",Baseline!$C$5=""),"",ABS(L2-Baseline!$C$5))</f>
        <v>0</v>
      </c>
    </row>
    <row r="3" spans="1:18" x14ac:dyDescent="0.3">
      <c r="A3" s="5">
        <v>2</v>
      </c>
      <c r="B3" s="5" t="s">
        <v>36</v>
      </c>
      <c r="C3" s="5" t="s">
        <v>37</v>
      </c>
      <c r="D3" s="5" t="s">
        <v>38</v>
      </c>
      <c r="E3" s="5" t="s">
        <v>39</v>
      </c>
      <c r="F3" s="6" t="s">
        <v>82</v>
      </c>
      <c r="G3" s="6">
        <v>0.5</v>
      </c>
      <c r="H3" s="6">
        <v>0.5</v>
      </c>
      <c r="I3" s="6">
        <v>0.5</v>
      </c>
      <c r="J3" s="5">
        <f t="shared" si="0"/>
        <v>3</v>
      </c>
      <c r="K3" s="5">
        <f t="shared" si="1"/>
        <v>3</v>
      </c>
      <c r="L3" s="7">
        <f t="shared" si="2"/>
        <v>0.5</v>
      </c>
      <c r="M3" s="7">
        <f t="shared" si="3"/>
        <v>0</v>
      </c>
      <c r="N3" s="7">
        <f t="shared" si="4"/>
        <v>0</v>
      </c>
      <c r="O3" s="7">
        <f t="shared" si="5"/>
        <v>0</v>
      </c>
      <c r="P3" s="7">
        <f t="shared" si="6"/>
        <v>0</v>
      </c>
      <c r="Q3" s="5">
        <f t="shared" si="7"/>
        <v>0</v>
      </c>
      <c r="R3" s="7">
        <f>IF(OR(L3="",Baseline!$C$5=""),"",ABS(L3-Baseline!$C$5))</f>
        <v>0</v>
      </c>
    </row>
    <row r="4" spans="1:18" x14ac:dyDescent="0.3">
      <c r="A4" s="5">
        <v>3</v>
      </c>
      <c r="B4" s="5" t="s">
        <v>36</v>
      </c>
      <c r="C4" s="5" t="s">
        <v>37</v>
      </c>
      <c r="D4" s="5" t="s">
        <v>38</v>
      </c>
      <c r="E4" s="5" t="s">
        <v>39</v>
      </c>
      <c r="F4" s="18" t="s">
        <v>83</v>
      </c>
      <c r="G4" s="6">
        <v>0.5</v>
      </c>
      <c r="H4" s="6">
        <v>0.5</v>
      </c>
      <c r="I4" s="6">
        <v>0.5</v>
      </c>
      <c r="J4" s="5">
        <f t="shared" si="0"/>
        <v>3</v>
      </c>
      <c r="K4" s="5">
        <f t="shared" si="1"/>
        <v>3</v>
      </c>
      <c r="L4" s="7">
        <f t="shared" si="2"/>
        <v>0.5</v>
      </c>
      <c r="M4" s="7">
        <f t="shared" si="3"/>
        <v>0</v>
      </c>
      <c r="N4" s="7">
        <f t="shared" si="4"/>
        <v>0</v>
      </c>
      <c r="O4" s="7">
        <f t="shared" si="5"/>
        <v>0</v>
      </c>
      <c r="P4" s="7">
        <f t="shared" si="6"/>
        <v>0</v>
      </c>
      <c r="Q4" s="5">
        <f t="shared" si="7"/>
        <v>0</v>
      </c>
      <c r="R4" s="7">
        <f>IF(OR(L4="",Baseline!$C$5=""),"",ABS(L4-Baseline!$C$5))</f>
        <v>0</v>
      </c>
    </row>
    <row r="5" spans="1:18" x14ac:dyDescent="0.3">
      <c r="A5" s="5">
        <v>4</v>
      </c>
      <c r="B5" s="5" t="s">
        <v>36</v>
      </c>
      <c r="C5" s="5" t="s">
        <v>37</v>
      </c>
      <c r="D5" s="5" t="s">
        <v>38</v>
      </c>
      <c r="E5" s="5" t="s">
        <v>39</v>
      </c>
      <c r="F5" s="18" t="s">
        <v>84</v>
      </c>
      <c r="G5" s="6">
        <v>0.5</v>
      </c>
      <c r="H5" s="6">
        <v>0.5</v>
      </c>
      <c r="I5" s="6">
        <v>14</v>
      </c>
      <c r="J5" s="5">
        <f t="shared" si="0"/>
        <v>3</v>
      </c>
      <c r="K5" s="5">
        <f t="shared" si="1"/>
        <v>3</v>
      </c>
      <c r="L5" s="7">
        <f t="shared" si="2"/>
        <v>5</v>
      </c>
      <c r="M5" s="7">
        <f t="shared" si="3"/>
        <v>0</v>
      </c>
      <c r="N5" s="7">
        <f t="shared" si="4"/>
        <v>0</v>
      </c>
      <c r="O5" s="7">
        <f t="shared" si="5"/>
        <v>13.5</v>
      </c>
      <c r="P5" s="7">
        <f t="shared" si="6"/>
        <v>6.75</v>
      </c>
      <c r="Q5" s="5">
        <f t="shared" si="7"/>
        <v>0</v>
      </c>
      <c r="R5" s="7">
        <f>IF(OR(L5="",Baseline!$C$5=""),"",ABS(L5-Baseline!$C$5))</f>
        <v>4.5</v>
      </c>
    </row>
    <row r="6" spans="1:18" x14ac:dyDescent="0.3">
      <c r="A6" s="5">
        <v>5</v>
      </c>
      <c r="B6" s="5" t="s">
        <v>36</v>
      </c>
      <c r="C6" s="5" t="s">
        <v>37</v>
      </c>
      <c r="D6" s="5" t="s">
        <v>38</v>
      </c>
      <c r="E6" s="5" t="s">
        <v>39</v>
      </c>
      <c r="F6" s="6" t="s">
        <v>85</v>
      </c>
      <c r="G6" s="6">
        <v>0.5</v>
      </c>
      <c r="H6" s="6">
        <v>1</v>
      </c>
      <c r="I6" s="6">
        <v>0.5</v>
      </c>
      <c r="J6" s="5">
        <f t="shared" si="0"/>
        <v>3</v>
      </c>
      <c r="K6" s="5">
        <f t="shared" si="1"/>
        <v>3</v>
      </c>
      <c r="L6" s="7">
        <f t="shared" si="2"/>
        <v>0.66666666666666663</v>
      </c>
      <c r="M6" s="7">
        <f t="shared" si="3"/>
        <v>0</v>
      </c>
      <c r="N6" s="7">
        <f t="shared" si="4"/>
        <v>0.5</v>
      </c>
      <c r="O6" s="7">
        <f t="shared" si="5"/>
        <v>0.5</v>
      </c>
      <c r="P6" s="7">
        <f t="shared" si="6"/>
        <v>0.5</v>
      </c>
      <c r="Q6" s="5">
        <f t="shared" si="7"/>
        <v>0</v>
      </c>
      <c r="R6" s="7">
        <f>IF(OR(L6="",Baseline!$C$5=""),"",ABS(L6-Baseline!$C$5))</f>
        <v>0.16666666666666663</v>
      </c>
    </row>
    <row r="7" spans="1:18" x14ac:dyDescent="0.3">
      <c r="A7" s="5">
        <v>6</v>
      </c>
      <c r="B7" s="5" t="s">
        <v>36</v>
      </c>
      <c r="C7" s="5" t="s">
        <v>37</v>
      </c>
      <c r="D7" s="5" t="s">
        <v>38</v>
      </c>
      <c r="E7" s="5" t="s">
        <v>39</v>
      </c>
      <c r="F7" s="6" t="s">
        <v>86</v>
      </c>
      <c r="G7" s="6">
        <v>0.5</v>
      </c>
      <c r="H7" s="6">
        <v>1</v>
      </c>
      <c r="I7" s="6">
        <v>0.5</v>
      </c>
      <c r="J7" s="5">
        <f t="shared" si="0"/>
        <v>3</v>
      </c>
      <c r="K7" s="5">
        <f t="shared" si="1"/>
        <v>3</v>
      </c>
      <c r="L7" s="19">
        <f t="shared" si="2"/>
        <v>0.66666666666666663</v>
      </c>
      <c r="M7" s="7">
        <f t="shared" si="3"/>
        <v>0</v>
      </c>
      <c r="N7" s="7">
        <f t="shared" si="4"/>
        <v>0.5</v>
      </c>
      <c r="O7" s="7">
        <f t="shared" si="5"/>
        <v>0.5</v>
      </c>
      <c r="P7" s="7">
        <f t="shared" si="6"/>
        <v>0.5</v>
      </c>
      <c r="Q7" s="5">
        <f t="shared" si="7"/>
        <v>0</v>
      </c>
      <c r="R7" s="7">
        <f>IF(OR(L7="",Baseline!$C$5=""),"",ABS(L7-Baseline!$C$5))</f>
        <v>0.16666666666666663</v>
      </c>
    </row>
    <row r="8" spans="1:18" x14ac:dyDescent="0.3">
      <c r="A8" s="5">
        <v>7</v>
      </c>
      <c r="B8" s="5" t="s">
        <v>36</v>
      </c>
      <c r="C8" s="5" t="s">
        <v>37</v>
      </c>
      <c r="D8" s="5" t="s">
        <v>38</v>
      </c>
      <c r="E8" s="5" t="s">
        <v>39</v>
      </c>
      <c r="F8" s="18" t="s">
        <v>87</v>
      </c>
      <c r="G8" s="6">
        <v>0.5</v>
      </c>
      <c r="H8" s="6">
        <v>0.5</v>
      </c>
      <c r="I8" s="6">
        <v>0.5</v>
      </c>
      <c r="J8" s="5">
        <f t="shared" si="0"/>
        <v>3</v>
      </c>
      <c r="K8" s="5">
        <f t="shared" si="1"/>
        <v>3</v>
      </c>
      <c r="L8" s="7">
        <f t="shared" si="2"/>
        <v>0.5</v>
      </c>
      <c r="M8" s="7">
        <f t="shared" si="3"/>
        <v>0</v>
      </c>
      <c r="N8" s="7">
        <f t="shared" si="4"/>
        <v>0</v>
      </c>
      <c r="O8" s="7">
        <f t="shared" si="5"/>
        <v>0</v>
      </c>
      <c r="P8" s="7">
        <f t="shared" si="6"/>
        <v>0</v>
      </c>
      <c r="Q8" s="5">
        <f t="shared" si="7"/>
        <v>0</v>
      </c>
      <c r="R8" s="7">
        <f>IF(OR(L8="",Baseline!$C$5=""),"",ABS(L8-Baseline!$C$5))</f>
        <v>0</v>
      </c>
    </row>
    <row r="9" spans="1:18" x14ac:dyDescent="0.3">
      <c r="A9" s="5">
        <v>8</v>
      </c>
      <c r="B9" s="5" t="s">
        <v>36</v>
      </c>
      <c r="C9" s="5" t="s">
        <v>37</v>
      </c>
      <c r="D9" s="5" t="s">
        <v>38</v>
      </c>
      <c r="E9" s="5" t="s">
        <v>39</v>
      </c>
      <c r="F9" s="18" t="s">
        <v>88</v>
      </c>
      <c r="G9" s="6">
        <v>0.5</v>
      </c>
      <c r="H9" s="6">
        <v>1</v>
      </c>
      <c r="I9" s="6">
        <v>0.5</v>
      </c>
      <c r="J9" s="5">
        <f t="shared" si="0"/>
        <v>3</v>
      </c>
      <c r="K9" s="5">
        <f t="shared" si="1"/>
        <v>3</v>
      </c>
      <c r="L9" s="20">
        <f t="shared" si="2"/>
        <v>0.66666666666666663</v>
      </c>
      <c r="M9" s="7">
        <f t="shared" si="3"/>
        <v>0</v>
      </c>
      <c r="N9" s="7">
        <f t="shared" si="4"/>
        <v>0.5</v>
      </c>
      <c r="O9" s="7">
        <f t="shared" si="5"/>
        <v>0.5</v>
      </c>
      <c r="P9" s="7">
        <f t="shared" si="6"/>
        <v>0.5</v>
      </c>
      <c r="Q9" s="5">
        <f t="shared" si="7"/>
        <v>0</v>
      </c>
      <c r="R9" s="7">
        <f>IF(OR(L9="",Baseline!$C$5=""),"",ABS(L9-Baseline!$C$5))</f>
        <v>0.16666666666666663</v>
      </c>
    </row>
    <row r="10" spans="1:18" x14ac:dyDescent="0.3">
      <c r="A10" s="5">
        <v>9</v>
      </c>
      <c r="B10" s="5" t="s">
        <v>36</v>
      </c>
      <c r="C10" s="5" t="s">
        <v>37</v>
      </c>
      <c r="D10" s="5" t="s">
        <v>38</v>
      </c>
      <c r="E10" s="5" t="s">
        <v>39</v>
      </c>
      <c r="F10" s="6" t="s">
        <v>89</v>
      </c>
      <c r="G10" s="6">
        <v>0.5</v>
      </c>
      <c r="H10" s="6">
        <v>0.5</v>
      </c>
      <c r="I10" s="6">
        <v>0.5</v>
      </c>
      <c r="J10" s="5">
        <f t="shared" si="0"/>
        <v>3</v>
      </c>
      <c r="K10" s="5">
        <f t="shared" si="1"/>
        <v>3</v>
      </c>
      <c r="L10" s="7">
        <f t="shared" si="2"/>
        <v>0.5</v>
      </c>
      <c r="M10" s="7">
        <f t="shared" si="3"/>
        <v>0</v>
      </c>
      <c r="N10" s="7">
        <f t="shared" si="4"/>
        <v>0</v>
      </c>
      <c r="O10" s="7">
        <f t="shared" si="5"/>
        <v>0</v>
      </c>
      <c r="P10" s="7">
        <f t="shared" si="6"/>
        <v>0</v>
      </c>
      <c r="Q10" s="5">
        <f t="shared" si="7"/>
        <v>0</v>
      </c>
      <c r="R10" s="7">
        <f>IF(OR(L10="",Baseline!$C$5=""),"",ABS(L10-Baseline!$C$5))</f>
        <v>0</v>
      </c>
    </row>
    <row r="11" spans="1:18" x14ac:dyDescent="0.3">
      <c r="A11" s="5">
        <v>10</v>
      </c>
      <c r="B11" s="5" t="s">
        <v>36</v>
      </c>
      <c r="C11" s="5" t="s">
        <v>37</v>
      </c>
      <c r="D11" s="5" t="s">
        <v>38</v>
      </c>
      <c r="E11" s="5" t="s">
        <v>39</v>
      </c>
      <c r="F11" s="6" t="s">
        <v>90</v>
      </c>
      <c r="G11" s="6">
        <v>0.5</v>
      </c>
      <c r="H11" s="6">
        <v>0.5</v>
      </c>
      <c r="I11" s="6">
        <v>0.5</v>
      </c>
      <c r="J11" s="5">
        <f t="shared" si="0"/>
        <v>3</v>
      </c>
      <c r="K11" s="5">
        <f t="shared" si="1"/>
        <v>3</v>
      </c>
      <c r="L11" s="7">
        <f t="shared" si="2"/>
        <v>0.5</v>
      </c>
      <c r="M11" s="7">
        <f t="shared" si="3"/>
        <v>0</v>
      </c>
      <c r="N11" s="7">
        <f t="shared" si="4"/>
        <v>0</v>
      </c>
      <c r="O11" s="7">
        <f t="shared" si="5"/>
        <v>0</v>
      </c>
      <c r="P11" s="7">
        <f t="shared" si="6"/>
        <v>0</v>
      </c>
      <c r="Q11" s="5">
        <f t="shared" si="7"/>
        <v>0</v>
      </c>
      <c r="R11" s="7">
        <f>IF(OR(L11="",Baseline!$C$5=""),"",ABS(L11-Baseline!$C$5))</f>
        <v>0</v>
      </c>
    </row>
    <row r="12" spans="1:18" x14ac:dyDescent="0.3">
      <c r="A12" s="5">
        <v>11</v>
      </c>
      <c r="B12" s="5" t="s">
        <v>36</v>
      </c>
      <c r="C12" s="5" t="s">
        <v>37</v>
      </c>
      <c r="D12" s="5" t="s">
        <v>38</v>
      </c>
      <c r="E12" s="5" t="s">
        <v>39</v>
      </c>
      <c r="F12" s="6" t="s">
        <v>91</v>
      </c>
      <c r="G12" s="17">
        <v>0.5</v>
      </c>
      <c r="H12" s="6">
        <v>0.5</v>
      </c>
      <c r="I12" s="6">
        <v>0.5</v>
      </c>
      <c r="J12" s="5">
        <f t="shared" si="0"/>
        <v>3</v>
      </c>
      <c r="K12" s="5">
        <f t="shared" si="1"/>
        <v>3</v>
      </c>
      <c r="L12" s="7">
        <f t="shared" si="2"/>
        <v>0.5</v>
      </c>
      <c r="M12" s="7">
        <f t="shared" si="3"/>
        <v>0</v>
      </c>
      <c r="N12" s="7">
        <f t="shared" si="4"/>
        <v>0</v>
      </c>
      <c r="O12" s="7">
        <f t="shared" si="5"/>
        <v>0</v>
      </c>
      <c r="P12" s="7">
        <f t="shared" si="6"/>
        <v>0</v>
      </c>
      <c r="Q12" s="5">
        <f t="shared" si="7"/>
        <v>0</v>
      </c>
      <c r="R12" s="7">
        <f>IF(OR(L12="",Baseline!$C$5=""),"",ABS(L12-Baseline!$C$5))</f>
        <v>0</v>
      </c>
    </row>
    <row r="13" spans="1:18" x14ac:dyDescent="0.3">
      <c r="A13" s="5">
        <v>12</v>
      </c>
      <c r="B13" s="5" t="s">
        <v>36</v>
      </c>
      <c r="C13" s="5" t="s">
        <v>37</v>
      </c>
      <c r="D13" s="5" t="s">
        <v>38</v>
      </c>
      <c r="E13" s="5" t="s">
        <v>39</v>
      </c>
      <c r="F13" s="6" t="s">
        <v>92</v>
      </c>
      <c r="G13" s="6">
        <v>22</v>
      </c>
      <c r="H13" s="6">
        <v>0.5</v>
      </c>
      <c r="I13" s="6">
        <v>0.5</v>
      </c>
      <c r="J13" s="5">
        <f t="shared" si="0"/>
        <v>3</v>
      </c>
      <c r="K13" s="5">
        <f t="shared" si="1"/>
        <v>3</v>
      </c>
      <c r="L13" s="7">
        <f t="shared" si="2"/>
        <v>7.666666666666667</v>
      </c>
      <c r="M13" s="7">
        <f t="shared" si="3"/>
        <v>0</v>
      </c>
      <c r="N13" s="7">
        <f t="shared" si="4"/>
        <v>21.5</v>
      </c>
      <c r="O13" s="7">
        <f t="shared" si="5"/>
        <v>0</v>
      </c>
      <c r="P13" s="7">
        <f t="shared" si="6"/>
        <v>10.75</v>
      </c>
      <c r="Q13" s="5">
        <f t="shared" si="7"/>
        <v>0</v>
      </c>
      <c r="R13" s="7">
        <f>IF(OR(L13="",Baseline!$C$5=""),"",ABS(L13-Baseline!$C$5))</f>
        <v>7.166666666666667</v>
      </c>
    </row>
    <row r="14" spans="1:18" x14ac:dyDescent="0.3">
      <c r="A14" s="5">
        <v>13</v>
      </c>
      <c r="B14" s="5" t="s">
        <v>36</v>
      </c>
      <c r="C14" s="5" t="s">
        <v>37</v>
      </c>
      <c r="D14" s="5" t="s">
        <v>38</v>
      </c>
      <c r="E14" s="5" t="s">
        <v>39</v>
      </c>
      <c r="F14" s="6" t="s">
        <v>93</v>
      </c>
      <c r="G14" s="6">
        <v>0.5</v>
      </c>
      <c r="H14" s="6">
        <v>0.5</v>
      </c>
      <c r="I14" s="6">
        <v>0.5</v>
      </c>
      <c r="J14" s="5">
        <f t="shared" si="0"/>
        <v>3</v>
      </c>
      <c r="K14" s="5">
        <f t="shared" si="1"/>
        <v>3</v>
      </c>
      <c r="L14" s="7">
        <f t="shared" si="2"/>
        <v>0.5</v>
      </c>
      <c r="M14" s="7">
        <f t="shared" si="3"/>
        <v>0</v>
      </c>
      <c r="N14" s="7">
        <f t="shared" si="4"/>
        <v>0</v>
      </c>
      <c r="O14" s="7">
        <f t="shared" si="5"/>
        <v>0</v>
      </c>
      <c r="P14" s="7">
        <f t="shared" si="6"/>
        <v>0</v>
      </c>
      <c r="Q14" s="5">
        <f t="shared" si="7"/>
        <v>0</v>
      </c>
      <c r="R14" s="7">
        <f>IF(OR(L14="",Baseline!$C$5=""),"",ABS(L14-Baseline!$C$5))</f>
        <v>0</v>
      </c>
    </row>
    <row r="15" spans="1:18" x14ac:dyDescent="0.3">
      <c r="A15" s="5">
        <v>14</v>
      </c>
      <c r="B15" s="5" t="s">
        <v>36</v>
      </c>
      <c r="C15" s="5" t="s">
        <v>37</v>
      </c>
      <c r="D15" s="5" t="s">
        <v>38</v>
      </c>
      <c r="E15" s="5" t="s">
        <v>39</v>
      </c>
      <c r="F15" s="6" t="s">
        <v>94</v>
      </c>
      <c r="G15" s="6">
        <v>0.5</v>
      </c>
      <c r="H15" s="6">
        <v>12</v>
      </c>
      <c r="I15" s="6">
        <v>0.5</v>
      </c>
      <c r="J15" s="5">
        <f t="shared" si="0"/>
        <v>3</v>
      </c>
      <c r="K15" s="5">
        <f t="shared" si="1"/>
        <v>3</v>
      </c>
      <c r="L15" s="7">
        <f t="shared" si="2"/>
        <v>4.333333333333333</v>
      </c>
      <c r="M15" s="7">
        <f t="shared" si="3"/>
        <v>0</v>
      </c>
      <c r="N15" s="7">
        <f t="shared" si="4"/>
        <v>11.5</v>
      </c>
      <c r="O15" s="7">
        <f t="shared" si="5"/>
        <v>11.5</v>
      </c>
      <c r="P15" s="7">
        <f t="shared" si="6"/>
        <v>11.5</v>
      </c>
      <c r="Q15" s="5">
        <f t="shared" si="7"/>
        <v>0</v>
      </c>
      <c r="R15" s="7">
        <f>IF(OR(L15="",Baseline!$C$5=""),"",ABS(L15-Baseline!$C$5))</f>
        <v>3.833333333333333</v>
      </c>
    </row>
    <row r="16" spans="1:18" x14ac:dyDescent="0.3">
      <c r="A16" s="5">
        <v>15</v>
      </c>
      <c r="B16" s="5" t="s">
        <v>36</v>
      </c>
      <c r="C16" s="5" t="s">
        <v>37</v>
      </c>
      <c r="D16" s="5" t="s">
        <v>38</v>
      </c>
      <c r="E16" s="5" t="s">
        <v>39</v>
      </c>
      <c r="F16" s="6" t="s">
        <v>95</v>
      </c>
      <c r="G16" s="6">
        <v>0.5</v>
      </c>
      <c r="H16" s="6">
        <v>0.5</v>
      </c>
      <c r="I16" s="6">
        <v>0.5</v>
      </c>
      <c r="J16" s="5">
        <f t="shared" si="0"/>
        <v>3</v>
      </c>
      <c r="K16" s="5">
        <f t="shared" si="1"/>
        <v>3</v>
      </c>
      <c r="L16" s="7">
        <f t="shared" si="2"/>
        <v>0.5</v>
      </c>
      <c r="M16" s="7">
        <f t="shared" si="3"/>
        <v>0</v>
      </c>
      <c r="N16" s="7">
        <f t="shared" si="4"/>
        <v>0</v>
      </c>
      <c r="O16" s="7">
        <f t="shared" si="5"/>
        <v>0</v>
      </c>
      <c r="P16" s="7">
        <f t="shared" si="6"/>
        <v>0</v>
      </c>
      <c r="Q16" s="5">
        <f t="shared" si="7"/>
        <v>0</v>
      </c>
      <c r="R16" s="7">
        <f>IF(OR(L16="",Baseline!$C$5=""),"",ABS(L16-Baseline!$C$5))</f>
        <v>0</v>
      </c>
    </row>
    <row r="17" spans="1:18" x14ac:dyDescent="0.3">
      <c r="A17" s="5">
        <v>16</v>
      </c>
      <c r="B17" s="5" t="s">
        <v>36</v>
      </c>
      <c r="C17" s="5" t="s">
        <v>37</v>
      </c>
      <c r="D17" s="5" t="s">
        <v>38</v>
      </c>
      <c r="E17" s="5" t="s">
        <v>39</v>
      </c>
      <c r="F17" s="6" t="s">
        <v>96</v>
      </c>
      <c r="G17" s="6">
        <v>0.5</v>
      </c>
      <c r="H17" s="6">
        <v>0.5</v>
      </c>
      <c r="I17" s="6">
        <v>0.5</v>
      </c>
      <c r="J17" s="5">
        <f t="shared" si="0"/>
        <v>3</v>
      </c>
      <c r="K17" s="5">
        <f t="shared" si="1"/>
        <v>3</v>
      </c>
      <c r="L17" s="7">
        <f t="shared" si="2"/>
        <v>0.5</v>
      </c>
      <c r="M17" s="7">
        <f t="shared" si="3"/>
        <v>0</v>
      </c>
      <c r="N17" s="7">
        <f t="shared" si="4"/>
        <v>0</v>
      </c>
      <c r="O17" s="7">
        <f t="shared" si="5"/>
        <v>0</v>
      </c>
      <c r="P17" s="7">
        <f t="shared" si="6"/>
        <v>0</v>
      </c>
      <c r="Q17" s="5">
        <f t="shared" si="7"/>
        <v>0</v>
      </c>
      <c r="R17" s="7">
        <f>IF(OR(L17="",Baseline!$C$5=""),"",ABS(L17-Baseline!$C$5))</f>
        <v>0</v>
      </c>
    </row>
    <row r="18" spans="1:18" x14ac:dyDescent="0.3">
      <c r="A18" s="5">
        <v>17</v>
      </c>
      <c r="B18" s="5" t="s">
        <v>36</v>
      </c>
      <c r="C18" s="5" t="s">
        <v>37</v>
      </c>
      <c r="D18" s="5" t="s">
        <v>38</v>
      </c>
      <c r="E18" s="5" t="s">
        <v>39</v>
      </c>
      <c r="F18" s="6" t="s">
        <v>97</v>
      </c>
      <c r="G18" s="6">
        <v>0.5</v>
      </c>
      <c r="H18" s="6">
        <v>0.5</v>
      </c>
      <c r="I18" s="6">
        <v>0.5</v>
      </c>
      <c r="J18" s="5">
        <f t="shared" si="0"/>
        <v>3</v>
      </c>
      <c r="K18" s="5">
        <f t="shared" si="1"/>
        <v>3</v>
      </c>
      <c r="L18" s="7">
        <f t="shared" si="2"/>
        <v>0.5</v>
      </c>
      <c r="M18" s="7">
        <f t="shared" si="3"/>
        <v>0</v>
      </c>
      <c r="N18" s="7">
        <f t="shared" si="4"/>
        <v>0</v>
      </c>
      <c r="O18" s="7">
        <f t="shared" si="5"/>
        <v>0</v>
      </c>
      <c r="P18" s="7">
        <f t="shared" si="6"/>
        <v>0</v>
      </c>
      <c r="Q18" s="5">
        <f t="shared" si="7"/>
        <v>0</v>
      </c>
      <c r="R18" s="7">
        <f>IF(OR(L18="",Baseline!$C$5=""),"",ABS(L18-Baseline!$C$5))</f>
        <v>0</v>
      </c>
    </row>
    <row r="19" spans="1:18" x14ac:dyDescent="0.3">
      <c r="A19" s="5">
        <v>18</v>
      </c>
      <c r="B19" s="5" t="s">
        <v>36</v>
      </c>
      <c r="C19" s="5" t="s">
        <v>37</v>
      </c>
      <c r="D19" s="5" t="s">
        <v>38</v>
      </c>
      <c r="E19" s="5" t="s">
        <v>39</v>
      </c>
      <c r="F19" s="6" t="s">
        <v>98</v>
      </c>
      <c r="G19" s="6">
        <v>0.5</v>
      </c>
      <c r="H19" s="6">
        <v>0.5</v>
      </c>
      <c r="I19" s="6">
        <v>0.5</v>
      </c>
      <c r="J19" s="5">
        <f t="shared" si="0"/>
        <v>3</v>
      </c>
      <c r="K19" s="5">
        <f t="shared" si="1"/>
        <v>3</v>
      </c>
      <c r="L19" s="7">
        <f t="shared" si="2"/>
        <v>0.5</v>
      </c>
      <c r="M19" s="7">
        <f t="shared" si="3"/>
        <v>0</v>
      </c>
      <c r="N19" s="7">
        <f t="shared" si="4"/>
        <v>0</v>
      </c>
      <c r="O19" s="7">
        <f t="shared" si="5"/>
        <v>0</v>
      </c>
      <c r="P19" s="7">
        <f t="shared" si="6"/>
        <v>0</v>
      </c>
      <c r="Q19" s="5">
        <f t="shared" si="7"/>
        <v>0</v>
      </c>
      <c r="R19" s="7">
        <f>IF(OR(L19="",Baseline!$C$5=""),"",ABS(L19-Baseline!$C$5))</f>
        <v>0</v>
      </c>
    </row>
    <row r="20" spans="1:18" x14ac:dyDescent="0.3">
      <c r="A20" s="5">
        <v>19</v>
      </c>
      <c r="B20" s="5" t="s">
        <v>36</v>
      </c>
      <c r="C20" s="5" t="s">
        <v>37</v>
      </c>
      <c r="D20" s="5" t="s">
        <v>38</v>
      </c>
      <c r="E20" s="5" t="s">
        <v>39</v>
      </c>
      <c r="F20" s="6" t="s">
        <v>99</v>
      </c>
      <c r="G20" s="6">
        <v>0.5</v>
      </c>
      <c r="H20" s="6">
        <v>0.5</v>
      </c>
      <c r="I20" s="6">
        <v>0.5</v>
      </c>
      <c r="J20" s="5">
        <f t="shared" si="0"/>
        <v>3</v>
      </c>
      <c r="K20" s="5">
        <f t="shared" si="1"/>
        <v>3</v>
      </c>
      <c r="L20" s="7">
        <f t="shared" si="2"/>
        <v>0.5</v>
      </c>
      <c r="M20" s="7">
        <f t="shared" si="3"/>
        <v>0</v>
      </c>
      <c r="N20" s="7">
        <f t="shared" si="4"/>
        <v>0</v>
      </c>
      <c r="O20" s="7">
        <f t="shared" si="5"/>
        <v>0</v>
      </c>
      <c r="P20" s="7">
        <f t="shared" si="6"/>
        <v>0</v>
      </c>
      <c r="Q20" s="5">
        <f t="shared" si="7"/>
        <v>0</v>
      </c>
      <c r="R20" s="7">
        <f>IF(OR(L20="",Baseline!$C$5=""),"",ABS(L20-Baseline!$C$5))</f>
        <v>0</v>
      </c>
    </row>
    <row r="21" spans="1:18" x14ac:dyDescent="0.3">
      <c r="A21" s="5">
        <v>20</v>
      </c>
      <c r="B21" s="5" t="s">
        <v>36</v>
      </c>
      <c r="C21" s="5" t="s">
        <v>37</v>
      </c>
      <c r="D21" s="5" t="s">
        <v>38</v>
      </c>
      <c r="E21" s="5" t="s">
        <v>39</v>
      </c>
      <c r="F21" s="6" t="s">
        <v>100</v>
      </c>
      <c r="G21" s="6">
        <v>0.5</v>
      </c>
      <c r="H21" s="6">
        <v>0.5</v>
      </c>
      <c r="I21" s="6">
        <v>0.5</v>
      </c>
      <c r="J21" s="5">
        <f t="shared" si="0"/>
        <v>3</v>
      </c>
      <c r="K21" s="5">
        <f t="shared" si="1"/>
        <v>3</v>
      </c>
      <c r="L21" s="7">
        <f t="shared" si="2"/>
        <v>0.5</v>
      </c>
      <c r="M21" s="7">
        <f t="shared" si="3"/>
        <v>0</v>
      </c>
      <c r="N21" s="7">
        <f t="shared" si="4"/>
        <v>0</v>
      </c>
      <c r="O21" s="7">
        <f t="shared" si="5"/>
        <v>0</v>
      </c>
      <c r="P21" s="7">
        <f t="shared" si="6"/>
        <v>0</v>
      </c>
      <c r="Q21" s="5">
        <f t="shared" si="7"/>
        <v>0</v>
      </c>
      <c r="R21" s="7">
        <f>IF(OR(L21="",Baseline!$C$5=""),"",ABS(L21-Baseline!$C$5))</f>
        <v>0</v>
      </c>
    </row>
    <row r="22" spans="1:18" x14ac:dyDescent="0.3">
      <c r="A22" s="5">
        <v>1</v>
      </c>
      <c r="B22" s="5" t="s">
        <v>40</v>
      </c>
      <c r="C22" s="5" t="s">
        <v>37</v>
      </c>
      <c r="D22" s="5" t="s">
        <v>38</v>
      </c>
      <c r="E22" s="5" t="s">
        <v>39</v>
      </c>
      <c r="F22" s="6" t="s">
        <v>101</v>
      </c>
      <c r="G22" s="18" t="s">
        <v>102</v>
      </c>
      <c r="H22" s="6">
        <v>21</v>
      </c>
      <c r="I22" s="6">
        <v>0.5</v>
      </c>
      <c r="J22" s="5">
        <f t="shared" si="0"/>
        <v>3</v>
      </c>
      <c r="K22" s="5">
        <f t="shared" si="1"/>
        <v>2</v>
      </c>
      <c r="L22" s="7">
        <f t="shared" si="2"/>
        <v>10.75</v>
      </c>
      <c r="M22" s="7">
        <f t="shared" si="3"/>
        <v>33.333333333333329</v>
      </c>
      <c r="N22" s="7" t="str">
        <f t="shared" si="4"/>
        <v/>
      </c>
      <c r="O22" s="7">
        <f t="shared" si="5"/>
        <v>20.5</v>
      </c>
      <c r="P22" s="7">
        <f t="shared" si="6"/>
        <v>20.5</v>
      </c>
      <c r="Q22" s="5">
        <f t="shared" si="7"/>
        <v>0</v>
      </c>
      <c r="R22" s="7">
        <f>IF(OR(L22="",Baseline!$C$6=""),"",ABS(L22-Baseline!$C$6))</f>
        <v>10.25</v>
      </c>
    </row>
    <row r="23" spans="1:18" x14ac:dyDescent="0.3">
      <c r="A23" s="5">
        <v>2</v>
      </c>
      <c r="B23" s="5" t="s">
        <v>40</v>
      </c>
      <c r="C23" s="5" t="s">
        <v>37</v>
      </c>
      <c r="D23" s="5" t="s">
        <v>38</v>
      </c>
      <c r="E23" s="5" t="s">
        <v>39</v>
      </c>
      <c r="F23" s="6" t="s">
        <v>103</v>
      </c>
      <c r="G23" s="6">
        <v>0.5</v>
      </c>
      <c r="H23" s="6">
        <v>0.5</v>
      </c>
      <c r="I23" s="6">
        <v>0.5</v>
      </c>
      <c r="J23" s="5">
        <f t="shared" si="0"/>
        <v>3</v>
      </c>
      <c r="K23" s="5">
        <f t="shared" si="1"/>
        <v>3</v>
      </c>
      <c r="L23" s="7">
        <f t="shared" si="2"/>
        <v>0.5</v>
      </c>
      <c r="M23" s="7">
        <f t="shared" si="3"/>
        <v>0</v>
      </c>
      <c r="N23" s="7">
        <f t="shared" si="4"/>
        <v>0</v>
      </c>
      <c r="O23" s="7">
        <f t="shared" si="5"/>
        <v>0</v>
      </c>
      <c r="P23" s="7">
        <f t="shared" si="6"/>
        <v>0</v>
      </c>
      <c r="Q23" s="5">
        <f t="shared" si="7"/>
        <v>0</v>
      </c>
      <c r="R23" s="7">
        <f>IF(OR(L23="",Baseline!$C$6=""),"",ABS(L23-Baseline!$C$6))</f>
        <v>0</v>
      </c>
    </row>
    <row r="24" spans="1:18" x14ac:dyDescent="0.3">
      <c r="A24" s="5">
        <v>3</v>
      </c>
      <c r="B24" s="5" t="s">
        <v>40</v>
      </c>
      <c r="C24" s="5" t="s">
        <v>37</v>
      </c>
      <c r="D24" s="5" t="s">
        <v>38</v>
      </c>
      <c r="E24" s="5" t="s">
        <v>39</v>
      </c>
      <c r="F24" s="6" t="s">
        <v>104</v>
      </c>
      <c r="G24" s="6">
        <v>0.5</v>
      </c>
      <c r="H24" s="6">
        <v>0.5</v>
      </c>
      <c r="I24" s="6">
        <v>0.5</v>
      </c>
      <c r="J24" s="5">
        <f t="shared" si="0"/>
        <v>3</v>
      </c>
      <c r="K24" s="5">
        <f t="shared" si="1"/>
        <v>3</v>
      </c>
      <c r="L24" s="7">
        <f t="shared" si="2"/>
        <v>0.5</v>
      </c>
      <c r="M24" s="7">
        <f t="shared" si="3"/>
        <v>0</v>
      </c>
      <c r="N24" s="7">
        <f t="shared" si="4"/>
        <v>0</v>
      </c>
      <c r="O24" s="7">
        <f t="shared" si="5"/>
        <v>0</v>
      </c>
      <c r="P24" s="7">
        <f t="shared" si="6"/>
        <v>0</v>
      </c>
      <c r="Q24" s="5">
        <f t="shared" si="7"/>
        <v>0</v>
      </c>
      <c r="R24" s="7">
        <f>IF(OR(L24="",Baseline!$C$6=""),"",ABS(L24-Baseline!$C$6))</f>
        <v>0</v>
      </c>
    </row>
    <row r="25" spans="1:18" x14ac:dyDescent="0.3">
      <c r="A25" s="5">
        <v>4</v>
      </c>
      <c r="B25" s="5" t="s">
        <v>40</v>
      </c>
      <c r="C25" s="5" t="s">
        <v>37</v>
      </c>
      <c r="D25" s="5" t="s">
        <v>38</v>
      </c>
      <c r="E25" s="5" t="s">
        <v>39</v>
      </c>
      <c r="F25" s="6" t="s">
        <v>105</v>
      </c>
      <c r="G25" s="6">
        <v>0.5</v>
      </c>
      <c r="H25" s="6">
        <v>0.5</v>
      </c>
      <c r="I25" s="6">
        <v>0.5</v>
      </c>
      <c r="J25" s="5">
        <f t="shared" si="0"/>
        <v>3</v>
      </c>
      <c r="K25" s="5">
        <f t="shared" si="1"/>
        <v>3</v>
      </c>
      <c r="L25" s="7">
        <f t="shared" si="2"/>
        <v>0.5</v>
      </c>
      <c r="M25" s="7">
        <f t="shared" si="3"/>
        <v>0</v>
      </c>
      <c r="N25" s="7">
        <f t="shared" si="4"/>
        <v>0</v>
      </c>
      <c r="O25" s="7">
        <f t="shared" si="5"/>
        <v>0</v>
      </c>
      <c r="P25" s="7">
        <f t="shared" si="6"/>
        <v>0</v>
      </c>
      <c r="Q25" s="5">
        <f t="shared" si="7"/>
        <v>0</v>
      </c>
      <c r="R25" s="7">
        <f>IF(OR(L25="",Baseline!$C$6=""),"",ABS(L25-Baseline!$C$6))</f>
        <v>0</v>
      </c>
    </row>
    <row r="26" spans="1:18" x14ac:dyDescent="0.3">
      <c r="A26" s="5">
        <v>5</v>
      </c>
      <c r="B26" s="5" t="s">
        <v>40</v>
      </c>
      <c r="C26" s="5" t="s">
        <v>37</v>
      </c>
      <c r="D26" s="5" t="s">
        <v>38</v>
      </c>
      <c r="E26" s="5" t="s">
        <v>39</v>
      </c>
      <c r="F26" s="6" t="s">
        <v>106</v>
      </c>
      <c r="G26" s="6">
        <v>0.5</v>
      </c>
      <c r="H26" s="6">
        <v>15</v>
      </c>
      <c r="I26" s="6">
        <v>0.5</v>
      </c>
      <c r="J26" s="5">
        <f t="shared" si="0"/>
        <v>3</v>
      </c>
      <c r="K26" s="5">
        <f t="shared" si="1"/>
        <v>3</v>
      </c>
      <c r="L26" s="7">
        <f t="shared" si="2"/>
        <v>5.333333333333333</v>
      </c>
      <c r="M26" s="7">
        <f t="shared" si="3"/>
        <v>0</v>
      </c>
      <c r="N26" s="7">
        <f t="shared" si="4"/>
        <v>14.5</v>
      </c>
      <c r="O26" s="7">
        <f t="shared" si="5"/>
        <v>14.5</v>
      </c>
      <c r="P26" s="7">
        <f t="shared" si="6"/>
        <v>14.5</v>
      </c>
      <c r="Q26" s="5">
        <f t="shared" si="7"/>
        <v>0</v>
      </c>
      <c r="R26" s="7">
        <f>IF(OR(L26="",Baseline!$C$6=""),"",ABS(L26-Baseline!$C$6))</f>
        <v>4.833333333333333</v>
      </c>
    </row>
    <row r="27" spans="1:18" x14ac:dyDescent="0.3">
      <c r="A27" s="5">
        <v>6</v>
      </c>
      <c r="B27" s="5" t="s">
        <v>40</v>
      </c>
      <c r="C27" s="5" t="s">
        <v>37</v>
      </c>
      <c r="D27" s="5" t="s">
        <v>38</v>
      </c>
      <c r="E27" s="5" t="s">
        <v>39</v>
      </c>
      <c r="F27" s="6" t="s">
        <v>107</v>
      </c>
      <c r="G27" s="6">
        <v>0.5</v>
      </c>
      <c r="H27" s="6">
        <v>0.5</v>
      </c>
      <c r="I27" s="6">
        <v>0.5</v>
      </c>
      <c r="J27" s="5">
        <f t="shared" si="0"/>
        <v>3</v>
      </c>
      <c r="K27" s="5">
        <f t="shared" si="1"/>
        <v>3</v>
      </c>
      <c r="L27" s="7">
        <f t="shared" si="2"/>
        <v>0.5</v>
      </c>
      <c r="M27" s="7">
        <f t="shared" si="3"/>
        <v>0</v>
      </c>
      <c r="N27" s="7">
        <f t="shared" si="4"/>
        <v>0</v>
      </c>
      <c r="O27" s="7">
        <f t="shared" si="5"/>
        <v>0</v>
      </c>
      <c r="P27" s="7">
        <f t="shared" si="6"/>
        <v>0</v>
      </c>
      <c r="Q27" s="5">
        <f t="shared" si="7"/>
        <v>0</v>
      </c>
      <c r="R27" s="7">
        <f>IF(OR(L27="",Baseline!$C$6=""),"",ABS(L27-Baseline!$C$6))</f>
        <v>0</v>
      </c>
    </row>
    <row r="28" spans="1:18" x14ac:dyDescent="0.3">
      <c r="A28" s="5">
        <v>7</v>
      </c>
      <c r="B28" s="5" t="s">
        <v>40</v>
      </c>
      <c r="C28" s="5" t="s">
        <v>37</v>
      </c>
      <c r="D28" s="5" t="s">
        <v>38</v>
      </c>
      <c r="E28" s="5" t="s">
        <v>39</v>
      </c>
      <c r="F28" s="6" t="s">
        <v>108</v>
      </c>
      <c r="G28" s="6">
        <v>0.5</v>
      </c>
      <c r="H28" s="6">
        <v>20</v>
      </c>
      <c r="I28" s="6">
        <v>0.5</v>
      </c>
      <c r="J28" s="5">
        <f t="shared" si="0"/>
        <v>3</v>
      </c>
      <c r="K28" s="5">
        <f t="shared" si="1"/>
        <v>3</v>
      </c>
      <c r="L28" s="7">
        <f t="shared" si="2"/>
        <v>7</v>
      </c>
      <c r="M28" s="7">
        <f t="shared" si="3"/>
        <v>0</v>
      </c>
      <c r="N28" s="7">
        <f t="shared" si="4"/>
        <v>19.5</v>
      </c>
      <c r="O28" s="7">
        <f t="shared" si="5"/>
        <v>19.5</v>
      </c>
      <c r="P28" s="7">
        <f t="shared" si="6"/>
        <v>19.5</v>
      </c>
      <c r="Q28" s="5">
        <f t="shared" si="7"/>
        <v>0</v>
      </c>
      <c r="R28" s="7">
        <f>IF(OR(L28="",Baseline!$C$6=""),"",ABS(L28-Baseline!$C$6))</f>
        <v>6.5</v>
      </c>
    </row>
    <row r="29" spans="1:18" x14ac:dyDescent="0.3">
      <c r="A29" s="5">
        <v>8</v>
      </c>
      <c r="B29" s="5" t="s">
        <v>40</v>
      </c>
      <c r="C29" s="5" t="s">
        <v>37</v>
      </c>
      <c r="D29" s="5" t="s">
        <v>38</v>
      </c>
      <c r="E29" s="5" t="s">
        <v>39</v>
      </c>
      <c r="F29" s="6" t="s">
        <v>109</v>
      </c>
      <c r="G29" s="6">
        <v>21</v>
      </c>
      <c r="H29" s="6">
        <v>0.5</v>
      </c>
      <c r="I29" s="6">
        <v>0.5</v>
      </c>
      <c r="J29" s="5">
        <f t="shared" si="0"/>
        <v>3</v>
      </c>
      <c r="K29" s="5">
        <f t="shared" si="1"/>
        <v>3</v>
      </c>
      <c r="L29" s="7">
        <f t="shared" si="2"/>
        <v>7.333333333333333</v>
      </c>
      <c r="M29" s="7">
        <f t="shared" si="3"/>
        <v>0</v>
      </c>
      <c r="N29" s="7">
        <f t="shared" si="4"/>
        <v>20.5</v>
      </c>
      <c r="O29" s="7">
        <f t="shared" si="5"/>
        <v>0</v>
      </c>
      <c r="P29" s="7">
        <f t="shared" si="6"/>
        <v>10.25</v>
      </c>
      <c r="Q29" s="5">
        <f t="shared" si="7"/>
        <v>0</v>
      </c>
      <c r="R29" s="7">
        <f>IF(OR(L29="",Baseline!$C$6=""),"",ABS(L29-Baseline!$C$6))</f>
        <v>6.833333333333333</v>
      </c>
    </row>
    <row r="30" spans="1:18" x14ac:dyDescent="0.3">
      <c r="A30" s="5">
        <v>9</v>
      </c>
      <c r="B30" s="5" t="s">
        <v>40</v>
      </c>
      <c r="C30" s="5" t="s">
        <v>37</v>
      </c>
      <c r="D30" s="5" t="s">
        <v>38</v>
      </c>
      <c r="E30" s="5" t="s">
        <v>39</v>
      </c>
      <c r="F30" s="6" t="s">
        <v>110</v>
      </c>
      <c r="G30" s="6">
        <v>0.5</v>
      </c>
      <c r="H30" s="6">
        <v>0.5</v>
      </c>
      <c r="I30" s="6">
        <v>16</v>
      </c>
      <c r="J30" s="5">
        <f t="shared" si="0"/>
        <v>3</v>
      </c>
      <c r="K30" s="5">
        <f t="shared" si="1"/>
        <v>3</v>
      </c>
      <c r="L30" s="7">
        <f t="shared" si="2"/>
        <v>5.666666666666667</v>
      </c>
      <c r="M30" s="7">
        <f t="shared" si="3"/>
        <v>0</v>
      </c>
      <c r="N30" s="7">
        <f t="shared" si="4"/>
        <v>0</v>
      </c>
      <c r="O30" s="7">
        <f t="shared" si="5"/>
        <v>15.5</v>
      </c>
      <c r="P30" s="7">
        <f t="shared" si="6"/>
        <v>7.75</v>
      </c>
      <c r="Q30" s="5">
        <f t="shared" si="7"/>
        <v>0</v>
      </c>
      <c r="R30" s="7">
        <f>IF(OR(L30="",Baseline!$C$6=""),"",ABS(L30-Baseline!$C$6))</f>
        <v>5.166666666666667</v>
      </c>
    </row>
    <row r="31" spans="1:18" x14ac:dyDescent="0.3">
      <c r="A31" s="5">
        <v>10</v>
      </c>
      <c r="B31" s="5" t="s">
        <v>40</v>
      </c>
      <c r="C31" s="5" t="s">
        <v>37</v>
      </c>
      <c r="D31" s="5" t="s">
        <v>38</v>
      </c>
      <c r="E31" s="5" t="s">
        <v>39</v>
      </c>
      <c r="F31" s="6" t="s">
        <v>111</v>
      </c>
      <c r="G31" s="6">
        <v>0.5</v>
      </c>
      <c r="H31" s="6">
        <v>0.5</v>
      </c>
      <c r="I31" s="6">
        <v>3</v>
      </c>
      <c r="J31" s="5">
        <f t="shared" si="0"/>
        <v>3</v>
      </c>
      <c r="K31" s="5">
        <f t="shared" si="1"/>
        <v>3</v>
      </c>
      <c r="L31" s="7">
        <f t="shared" si="2"/>
        <v>1.3333333333333333</v>
      </c>
      <c r="M31" s="7">
        <f t="shared" si="3"/>
        <v>0</v>
      </c>
      <c r="N31" s="7">
        <f t="shared" si="4"/>
        <v>0</v>
      </c>
      <c r="O31" s="7">
        <f t="shared" si="5"/>
        <v>2.5</v>
      </c>
      <c r="P31" s="7">
        <f t="shared" si="6"/>
        <v>1.25</v>
      </c>
      <c r="Q31" s="5">
        <f t="shared" si="7"/>
        <v>0</v>
      </c>
      <c r="R31" s="7">
        <f>IF(OR(L31="",Baseline!$C$6=""),"",ABS(L31-Baseline!$C$6))</f>
        <v>0.83333333333333326</v>
      </c>
    </row>
    <row r="32" spans="1:18" x14ac:dyDescent="0.3">
      <c r="A32" s="5">
        <v>11</v>
      </c>
      <c r="B32" s="5" t="s">
        <v>40</v>
      </c>
      <c r="C32" s="5" t="s">
        <v>37</v>
      </c>
      <c r="D32" s="5" t="s">
        <v>38</v>
      </c>
      <c r="E32" s="5" t="s">
        <v>39</v>
      </c>
      <c r="F32" s="6" t="s">
        <v>112</v>
      </c>
      <c r="G32" s="6">
        <v>0.5</v>
      </c>
      <c r="H32" s="6">
        <v>0.5</v>
      </c>
      <c r="I32" s="6">
        <v>0.5</v>
      </c>
      <c r="J32" s="5">
        <f t="shared" si="0"/>
        <v>3</v>
      </c>
      <c r="K32" s="5">
        <f t="shared" si="1"/>
        <v>3</v>
      </c>
      <c r="L32" s="7">
        <f t="shared" si="2"/>
        <v>0.5</v>
      </c>
      <c r="M32" s="7">
        <f t="shared" si="3"/>
        <v>0</v>
      </c>
      <c r="N32" s="7">
        <f t="shared" si="4"/>
        <v>0</v>
      </c>
      <c r="O32" s="7">
        <f t="shared" si="5"/>
        <v>0</v>
      </c>
      <c r="P32" s="7">
        <f t="shared" si="6"/>
        <v>0</v>
      </c>
      <c r="Q32" s="5">
        <f t="shared" si="7"/>
        <v>0</v>
      </c>
      <c r="R32" s="7">
        <f>IF(OR(L32="",Baseline!$C$6=""),"",ABS(L32-Baseline!$C$6))</f>
        <v>0</v>
      </c>
    </row>
    <row r="33" spans="1:18" x14ac:dyDescent="0.3">
      <c r="A33" s="5">
        <v>12</v>
      </c>
      <c r="B33" s="5" t="s">
        <v>40</v>
      </c>
      <c r="C33" s="5" t="s">
        <v>37</v>
      </c>
      <c r="D33" s="5" t="s">
        <v>38</v>
      </c>
      <c r="E33" s="5" t="s">
        <v>39</v>
      </c>
      <c r="F33" s="6" t="s">
        <v>113</v>
      </c>
      <c r="G33" s="6">
        <v>0.5</v>
      </c>
      <c r="H33" s="6">
        <v>0.5</v>
      </c>
      <c r="I33" s="6">
        <v>0.5</v>
      </c>
      <c r="J33" s="5">
        <f t="shared" si="0"/>
        <v>3</v>
      </c>
      <c r="K33" s="5">
        <f t="shared" si="1"/>
        <v>3</v>
      </c>
      <c r="L33" s="7">
        <f t="shared" si="2"/>
        <v>0.5</v>
      </c>
      <c r="M33" s="7">
        <f t="shared" si="3"/>
        <v>0</v>
      </c>
      <c r="N33" s="7">
        <f t="shared" si="4"/>
        <v>0</v>
      </c>
      <c r="O33" s="7">
        <f t="shared" si="5"/>
        <v>0</v>
      </c>
      <c r="P33" s="7">
        <f t="shared" si="6"/>
        <v>0</v>
      </c>
      <c r="Q33" s="5">
        <f t="shared" si="7"/>
        <v>0</v>
      </c>
      <c r="R33" s="7">
        <f>IF(OR(L33="",Baseline!$C$6=""),"",ABS(L33-Baseline!$C$6))</f>
        <v>0</v>
      </c>
    </row>
    <row r="34" spans="1:18" x14ac:dyDescent="0.3">
      <c r="A34" s="5">
        <v>13</v>
      </c>
      <c r="B34" s="5" t="s">
        <v>40</v>
      </c>
      <c r="C34" s="5" t="s">
        <v>37</v>
      </c>
      <c r="D34" s="5" t="s">
        <v>38</v>
      </c>
      <c r="E34" s="5" t="s">
        <v>39</v>
      </c>
      <c r="F34" s="6" t="s">
        <v>114</v>
      </c>
      <c r="G34" s="6">
        <v>0.5</v>
      </c>
      <c r="H34" s="6">
        <v>0.5</v>
      </c>
      <c r="I34" s="6">
        <v>0.5</v>
      </c>
      <c r="J34" s="5">
        <f t="shared" si="0"/>
        <v>3</v>
      </c>
      <c r="K34" s="5">
        <f t="shared" si="1"/>
        <v>3</v>
      </c>
      <c r="L34" s="7">
        <f t="shared" si="2"/>
        <v>0.5</v>
      </c>
      <c r="M34" s="7">
        <f t="shared" si="3"/>
        <v>0</v>
      </c>
      <c r="N34" s="7">
        <f t="shared" si="4"/>
        <v>0</v>
      </c>
      <c r="O34" s="7">
        <f t="shared" si="5"/>
        <v>0</v>
      </c>
      <c r="P34" s="7">
        <f t="shared" si="6"/>
        <v>0</v>
      </c>
      <c r="Q34" s="5">
        <f t="shared" si="7"/>
        <v>0</v>
      </c>
      <c r="R34" s="7">
        <f>IF(OR(L34="",Baseline!$C$6=""),"",ABS(L34-Baseline!$C$6))</f>
        <v>0</v>
      </c>
    </row>
    <row r="35" spans="1:18" x14ac:dyDescent="0.3">
      <c r="A35" s="5">
        <v>14</v>
      </c>
      <c r="B35" s="5" t="s">
        <v>40</v>
      </c>
      <c r="C35" s="5" t="s">
        <v>37</v>
      </c>
      <c r="D35" s="5" t="s">
        <v>38</v>
      </c>
      <c r="E35" s="5" t="s">
        <v>39</v>
      </c>
      <c r="F35" s="6" t="s">
        <v>115</v>
      </c>
      <c r="G35" s="6">
        <v>0.5</v>
      </c>
      <c r="H35" s="6">
        <v>0.5</v>
      </c>
      <c r="I35" s="6">
        <v>0.5</v>
      </c>
      <c r="J35" s="5">
        <f t="shared" si="0"/>
        <v>3</v>
      </c>
      <c r="K35" s="5">
        <f t="shared" si="1"/>
        <v>3</v>
      </c>
      <c r="L35" s="7">
        <f t="shared" si="2"/>
        <v>0.5</v>
      </c>
      <c r="M35" s="7">
        <f t="shared" si="3"/>
        <v>0</v>
      </c>
      <c r="N35" s="7">
        <f t="shared" si="4"/>
        <v>0</v>
      </c>
      <c r="O35" s="7">
        <f t="shared" si="5"/>
        <v>0</v>
      </c>
      <c r="P35" s="7">
        <f t="shared" si="6"/>
        <v>0</v>
      </c>
      <c r="Q35" s="5">
        <f t="shared" si="7"/>
        <v>0</v>
      </c>
      <c r="R35" s="7">
        <f>IF(OR(L35="",Baseline!$C$6=""),"",ABS(L35-Baseline!$C$6))</f>
        <v>0</v>
      </c>
    </row>
    <row r="36" spans="1:18" x14ac:dyDescent="0.3">
      <c r="A36" s="5">
        <v>15</v>
      </c>
      <c r="B36" s="5" t="s">
        <v>40</v>
      </c>
      <c r="C36" s="5" t="s">
        <v>37</v>
      </c>
      <c r="D36" s="5" t="s">
        <v>38</v>
      </c>
      <c r="E36" s="5" t="s">
        <v>39</v>
      </c>
      <c r="F36" s="6" t="s">
        <v>116</v>
      </c>
      <c r="G36" s="6">
        <v>0.5</v>
      </c>
      <c r="H36" s="6">
        <v>0.5</v>
      </c>
      <c r="I36" s="6">
        <v>0.5</v>
      </c>
      <c r="J36" s="5">
        <f t="shared" si="0"/>
        <v>3</v>
      </c>
      <c r="K36" s="5">
        <f t="shared" si="1"/>
        <v>3</v>
      </c>
      <c r="L36" s="7">
        <f t="shared" si="2"/>
        <v>0.5</v>
      </c>
      <c r="M36" s="7">
        <f t="shared" si="3"/>
        <v>0</v>
      </c>
      <c r="N36" s="7">
        <f t="shared" si="4"/>
        <v>0</v>
      </c>
      <c r="O36" s="7">
        <f t="shared" si="5"/>
        <v>0</v>
      </c>
      <c r="P36" s="7">
        <f t="shared" si="6"/>
        <v>0</v>
      </c>
      <c r="Q36" s="5">
        <f t="shared" si="7"/>
        <v>0</v>
      </c>
      <c r="R36" s="7">
        <f>IF(OR(L36="",Baseline!$C$6=""),"",ABS(L36-Baseline!$C$6))</f>
        <v>0</v>
      </c>
    </row>
    <row r="37" spans="1:18" x14ac:dyDescent="0.3">
      <c r="A37" s="5">
        <v>16</v>
      </c>
      <c r="B37" s="5" t="s">
        <v>40</v>
      </c>
      <c r="C37" s="5" t="s">
        <v>37</v>
      </c>
      <c r="D37" s="5" t="s">
        <v>38</v>
      </c>
      <c r="E37" s="5" t="s">
        <v>39</v>
      </c>
      <c r="F37" s="6" t="s">
        <v>117</v>
      </c>
      <c r="G37" s="6">
        <v>0.5</v>
      </c>
      <c r="H37" s="6">
        <v>0.5</v>
      </c>
      <c r="I37" s="6">
        <v>0.5</v>
      </c>
      <c r="J37" s="5">
        <f t="shared" si="0"/>
        <v>3</v>
      </c>
      <c r="K37" s="5">
        <f t="shared" si="1"/>
        <v>3</v>
      </c>
      <c r="L37" s="7">
        <f t="shared" si="2"/>
        <v>0.5</v>
      </c>
      <c r="M37" s="7">
        <f t="shared" si="3"/>
        <v>0</v>
      </c>
      <c r="N37" s="7">
        <f t="shared" si="4"/>
        <v>0</v>
      </c>
      <c r="O37" s="7">
        <f t="shared" si="5"/>
        <v>0</v>
      </c>
      <c r="P37" s="7">
        <f t="shared" si="6"/>
        <v>0</v>
      </c>
      <c r="Q37" s="5">
        <f t="shared" si="7"/>
        <v>0</v>
      </c>
      <c r="R37" s="7">
        <f>IF(OR(L37="",Baseline!$C$6=""),"",ABS(L37-Baseline!$C$6))</f>
        <v>0</v>
      </c>
    </row>
    <row r="38" spans="1:18" x14ac:dyDescent="0.3">
      <c r="A38" s="5">
        <v>17</v>
      </c>
      <c r="B38" s="5" t="s">
        <v>40</v>
      </c>
      <c r="C38" s="5" t="s">
        <v>37</v>
      </c>
      <c r="D38" s="5" t="s">
        <v>38</v>
      </c>
      <c r="E38" s="5" t="s">
        <v>39</v>
      </c>
      <c r="F38" s="6" t="s">
        <v>118</v>
      </c>
      <c r="G38" s="6">
        <v>0.5</v>
      </c>
      <c r="H38" s="6">
        <v>0.5</v>
      </c>
      <c r="I38" s="6">
        <v>0.5</v>
      </c>
      <c r="J38" s="5">
        <f t="shared" si="0"/>
        <v>3</v>
      </c>
      <c r="K38" s="5">
        <f t="shared" si="1"/>
        <v>3</v>
      </c>
      <c r="L38" s="7">
        <f t="shared" si="2"/>
        <v>0.5</v>
      </c>
      <c r="M38" s="7">
        <f t="shared" si="3"/>
        <v>0</v>
      </c>
      <c r="N38" s="7">
        <f t="shared" si="4"/>
        <v>0</v>
      </c>
      <c r="O38" s="7">
        <f t="shared" si="5"/>
        <v>0</v>
      </c>
      <c r="P38" s="7">
        <f t="shared" si="6"/>
        <v>0</v>
      </c>
      <c r="Q38" s="5">
        <f t="shared" si="7"/>
        <v>0</v>
      </c>
      <c r="R38" s="7">
        <f>IF(OR(L38="",Baseline!$C$6=""),"",ABS(L38-Baseline!$C$6))</f>
        <v>0</v>
      </c>
    </row>
    <row r="39" spans="1:18" x14ac:dyDescent="0.3">
      <c r="A39" s="5">
        <v>18</v>
      </c>
      <c r="B39" s="5" t="s">
        <v>40</v>
      </c>
      <c r="C39" s="5" t="s">
        <v>37</v>
      </c>
      <c r="D39" s="5" t="s">
        <v>38</v>
      </c>
      <c r="E39" s="5" t="s">
        <v>39</v>
      </c>
      <c r="F39" s="6" t="s">
        <v>119</v>
      </c>
      <c r="G39" s="6">
        <v>0.5</v>
      </c>
      <c r="H39" s="6">
        <v>0.5</v>
      </c>
      <c r="I39" s="6">
        <v>0.5</v>
      </c>
      <c r="J39" s="5">
        <f t="shared" si="0"/>
        <v>3</v>
      </c>
      <c r="K39" s="5">
        <f t="shared" si="1"/>
        <v>3</v>
      </c>
      <c r="L39" s="7">
        <f t="shared" si="2"/>
        <v>0.5</v>
      </c>
      <c r="M39" s="7">
        <f t="shared" si="3"/>
        <v>0</v>
      </c>
      <c r="N39" s="7">
        <f t="shared" si="4"/>
        <v>0</v>
      </c>
      <c r="O39" s="7">
        <f t="shared" si="5"/>
        <v>0</v>
      </c>
      <c r="P39" s="7">
        <f t="shared" si="6"/>
        <v>0</v>
      </c>
      <c r="Q39" s="5">
        <f t="shared" si="7"/>
        <v>0</v>
      </c>
      <c r="R39" s="7">
        <f>IF(OR(L39="",Baseline!$C$6=""),"",ABS(L39-Baseline!$C$6))</f>
        <v>0</v>
      </c>
    </row>
    <row r="40" spans="1:18" x14ac:dyDescent="0.3">
      <c r="A40" s="5">
        <v>19</v>
      </c>
      <c r="B40" s="5" t="s">
        <v>40</v>
      </c>
      <c r="C40" s="5" t="s">
        <v>37</v>
      </c>
      <c r="D40" s="5" t="s">
        <v>38</v>
      </c>
      <c r="E40" s="5" t="s">
        <v>39</v>
      </c>
      <c r="F40" s="6" t="s">
        <v>120</v>
      </c>
      <c r="G40" s="6">
        <v>0.5</v>
      </c>
      <c r="H40" s="6">
        <v>0.5</v>
      </c>
      <c r="I40" s="6">
        <v>0.5</v>
      </c>
      <c r="J40" s="5">
        <f t="shared" si="0"/>
        <v>3</v>
      </c>
      <c r="K40" s="5">
        <f t="shared" si="1"/>
        <v>3</v>
      </c>
      <c r="L40" s="7">
        <f t="shared" si="2"/>
        <v>0.5</v>
      </c>
      <c r="M40" s="7">
        <f t="shared" si="3"/>
        <v>0</v>
      </c>
      <c r="N40" s="7">
        <f t="shared" si="4"/>
        <v>0</v>
      </c>
      <c r="O40" s="7">
        <f t="shared" si="5"/>
        <v>0</v>
      </c>
      <c r="P40" s="7">
        <f t="shared" si="6"/>
        <v>0</v>
      </c>
      <c r="Q40" s="5">
        <f t="shared" si="7"/>
        <v>0</v>
      </c>
      <c r="R40" s="7">
        <f>IF(OR(L40="",Baseline!$C$6=""),"",ABS(L40-Baseline!$C$6))</f>
        <v>0</v>
      </c>
    </row>
    <row r="41" spans="1:18" x14ac:dyDescent="0.3">
      <c r="A41" s="5">
        <v>20</v>
      </c>
      <c r="B41" s="5" t="s">
        <v>40</v>
      </c>
      <c r="C41" s="5" t="s">
        <v>37</v>
      </c>
      <c r="D41" s="5" t="s">
        <v>38</v>
      </c>
      <c r="E41" s="5" t="s">
        <v>39</v>
      </c>
      <c r="F41" s="6" t="s">
        <v>121</v>
      </c>
      <c r="G41" s="6">
        <v>0.5</v>
      </c>
      <c r="H41" s="6">
        <v>0.5</v>
      </c>
      <c r="I41" s="6">
        <v>0.5</v>
      </c>
      <c r="J41" s="5">
        <f t="shared" si="0"/>
        <v>3</v>
      </c>
      <c r="K41" s="5">
        <f t="shared" si="1"/>
        <v>3</v>
      </c>
      <c r="L41" s="7">
        <f t="shared" si="2"/>
        <v>0.5</v>
      </c>
      <c r="M41" s="7">
        <f t="shared" si="3"/>
        <v>0</v>
      </c>
      <c r="N41" s="7">
        <f t="shared" si="4"/>
        <v>0</v>
      </c>
      <c r="O41" s="7">
        <f t="shared" si="5"/>
        <v>0</v>
      </c>
      <c r="P41" s="7">
        <f t="shared" si="6"/>
        <v>0</v>
      </c>
      <c r="Q41" s="5">
        <f t="shared" si="7"/>
        <v>0</v>
      </c>
      <c r="R41" s="7">
        <f>IF(OR(L41="",Baseline!$C$6=""),"",ABS(L41-Baseline!$C$6))</f>
        <v>0</v>
      </c>
    </row>
    <row r="42" spans="1:18" x14ac:dyDescent="0.3">
      <c r="A42" s="5">
        <v>1</v>
      </c>
      <c r="B42" s="5" t="s">
        <v>41</v>
      </c>
      <c r="C42" s="5" t="s">
        <v>37</v>
      </c>
      <c r="D42" s="5" t="s">
        <v>38</v>
      </c>
      <c r="E42" s="5" t="s">
        <v>39</v>
      </c>
      <c r="F42" s="6" t="s">
        <v>122</v>
      </c>
      <c r="G42" s="6" t="s">
        <v>102</v>
      </c>
      <c r="H42" s="6">
        <v>0.5</v>
      </c>
      <c r="I42" s="6">
        <v>0.5</v>
      </c>
      <c r="J42" s="5">
        <f t="shared" si="0"/>
        <v>3</v>
      </c>
      <c r="K42" s="5">
        <f t="shared" si="1"/>
        <v>2</v>
      </c>
      <c r="L42" s="7">
        <f t="shared" si="2"/>
        <v>0.5</v>
      </c>
      <c r="M42" s="7">
        <f t="shared" si="3"/>
        <v>33.333333333333329</v>
      </c>
      <c r="N42" s="7" t="str">
        <f t="shared" si="4"/>
        <v/>
      </c>
      <c r="O42" s="7">
        <f t="shared" si="5"/>
        <v>0</v>
      </c>
      <c r="P42" s="7">
        <f t="shared" si="6"/>
        <v>0</v>
      </c>
      <c r="Q42" s="5">
        <f t="shared" si="7"/>
        <v>0</v>
      </c>
      <c r="R42" s="7">
        <f>IF(OR(L42="",Baseline!$C$7=""),"",ABS(L42-Baseline!$C$7))</f>
        <v>0</v>
      </c>
    </row>
    <row r="43" spans="1:18" x14ac:dyDescent="0.3">
      <c r="A43" s="5">
        <v>2</v>
      </c>
      <c r="B43" s="5" t="s">
        <v>41</v>
      </c>
      <c r="C43" s="5" t="s">
        <v>37</v>
      </c>
      <c r="D43" s="5" t="s">
        <v>38</v>
      </c>
      <c r="E43" s="5" t="s">
        <v>39</v>
      </c>
      <c r="F43" s="6" t="s">
        <v>123</v>
      </c>
      <c r="G43" s="6">
        <v>0.5</v>
      </c>
      <c r="H43" s="6">
        <v>0.5</v>
      </c>
      <c r="I43" s="6">
        <v>0.5</v>
      </c>
      <c r="J43" s="5">
        <f t="shared" si="0"/>
        <v>3</v>
      </c>
      <c r="K43" s="5">
        <f t="shared" si="1"/>
        <v>3</v>
      </c>
      <c r="L43" s="7">
        <f t="shared" si="2"/>
        <v>0.5</v>
      </c>
      <c r="M43" s="7">
        <f t="shared" si="3"/>
        <v>0</v>
      </c>
      <c r="N43" s="7">
        <f t="shared" si="4"/>
        <v>0</v>
      </c>
      <c r="O43" s="7">
        <f t="shared" si="5"/>
        <v>0</v>
      </c>
      <c r="P43" s="7">
        <f t="shared" si="6"/>
        <v>0</v>
      </c>
      <c r="Q43" s="5">
        <f t="shared" si="7"/>
        <v>0</v>
      </c>
      <c r="R43" s="7">
        <f>IF(OR(L43="",Baseline!$C$7=""),"",ABS(L43-Baseline!$C$7))</f>
        <v>0</v>
      </c>
    </row>
    <row r="44" spans="1:18" x14ac:dyDescent="0.3">
      <c r="A44" s="5">
        <v>3</v>
      </c>
      <c r="B44" s="5" t="s">
        <v>41</v>
      </c>
      <c r="C44" s="5" t="s">
        <v>37</v>
      </c>
      <c r="D44" s="5" t="s">
        <v>38</v>
      </c>
      <c r="E44" s="5" t="s">
        <v>39</v>
      </c>
      <c r="F44" s="6" t="s">
        <v>124</v>
      </c>
      <c r="G44" s="6">
        <v>0.5</v>
      </c>
      <c r="H44" s="6">
        <v>0.5</v>
      </c>
      <c r="I44" s="6">
        <v>1</v>
      </c>
      <c r="J44" s="5">
        <f t="shared" si="0"/>
        <v>3</v>
      </c>
      <c r="K44" s="5">
        <f t="shared" si="1"/>
        <v>3</v>
      </c>
      <c r="L44" s="7">
        <f t="shared" si="2"/>
        <v>0.66666666666666663</v>
      </c>
      <c r="M44" s="7">
        <f t="shared" si="3"/>
        <v>0</v>
      </c>
      <c r="N44" s="7">
        <f t="shared" si="4"/>
        <v>0</v>
      </c>
      <c r="O44" s="7">
        <f t="shared" si="5"/>
        <v>0.5</v>
      </c>
      <c r="P44" s="7">
        <f t="shared" si="6"/>
        <v>0.25</v>
      </c>
      <c r="Q44" s="5">
        <f t="shared" si="7"/>
        <v>0</v>
      </c>
      <c r="R44" s="7">
        <f>IF(OR(L44="",Baseline!$C$7=""),"",ABS(L44-Baseline!$C$7))</f>
        <v>0.16666666666666663</v>
      </c>
    </row>
    <row r="45" spans="1:18" x14ac:dyDescent="0.3">
      <c r="A45" s="5">
        <v>4</v>
      </c>
      <c r="B45" s="5" t="s">
        <v>41</v>
      </c>
      <c r="C45" s="5" t="s">
        <v>37</v>
      </c>
      <c r="D45" s="5" t="s">
        <v>38</v>
      </c>
      <c r="E45" s="5" t="s">
        <v>39</v>
      </c>
      <c r="F45" s="6" t="s">
        <v>125</v>
      </c>
      <c r="G45" s="6">
        <v>0.5</v>
      </c>
      <c r="H45" s="6">
        <v>0.5</v>
      </c>
      <c r="I45" s="6">
        <v>1</v>
      </c>
      <c r="J45" s="5">
        <f t="shared" si="0"/>
        <v>3</v>
      </c>
      <c r="K45" s="5">
        <f t="shared" si="1"/>
        <v>3</v>
      </c>
      <c r="L45" s="7">
        <f t="shared" si="2"/>
        <v>0.66666666666666663</v>
      </c>
      <c r="M45" s="7">
        <f t="shared" si="3"/>
        <v>0</v>
      </c>
      <c r="N45" s="7">
        <f t="shared" si="4"/>
        <v>0</v>
      </c>
      <c r="O45" s="7">
        <f t="shared" si="5"/>
        <v>0.5</v>
      </c>
      <c r="P45" s="7">
        <f t="shared" si="6"/>
        <v>0.25</v>
      </c>
      <c r="Q45" s="5">
        <f t="shared" si="7"/>
        <v>0</v>
      </c>
      <c r="R45" s="7">
        <f>IF(OR(L45="",Baseline!$C$7=""),"",ABS(L45-Baseline!$C$7))</f>
        <v>0.16666666666666663</v>
      </c>
    </row>
    <row r="46" spans="1:18" x14ac:dyDescent="0.3">
      <c r="A46" s="5">
        <v>5</v>
      </c>
      <c r="B46" s="5" t="s">
        <v>41</v>
      </c>
      <c r="C46" s="5" t="s">
        <v>37</v>
      </c>
      <c r="D46" s="5" t="s">
        <v>38</v>
      </c>
      <c r="E46" s="5" t="s">
        <v>39</v>
      </c>
      <c r="F46" s="6" t="s">
        <v>126</v>
      </c>
      <c r="G46" s="6">
        <v>1</v>
      </c>
      <c r="H46" s="6">
        <v>0.5</v>
      </c>
      <c r="I46" s="6">
        <v>0.5</v>
      </c>
      <c r="J46" s="5">
        <f t="shared" si="0"/>
        <v>3</v>
      </c>
      <c r="K46" s="5">
        <f t="shared" si="1"/>
        <v>3</v>
      </c>
      <c r="L46" s="7">
        <f t="shared" si="2"/>
        <v>0.66666666666666663</v>
      </c>
      <c r="M46" s="7">
        <f t="shared" si="3"/>
        <v>0</v>
      </c>
      <c r="N46" s="7">
        <f t="shared" si="4"/>
        <v>0.5</v>
      </c>
      <c r="O46" s="7">
        <f t="shared" si="5"/>
        <v>0</v>
      </c>
      <c r="P46" s="7">
        <f t="shared" si="6"/>
        <v>0.25</v>
      </c>
      <c r="Q46" s="5">
        <f t="shared" si="7"/>
        <v>0</v>
      </c>
      <c r="R46" s="7">
        <f>IF(OR(L46="",Baseline!$C$7=""),"",ABS(L46-Baseline!$C$7))</f>
        <v>0.16666666666666663</v>
      </c>
    </row>
    <row r="47" spans="1:18" x14ac:dyDescent="0.3">
      <c r="A47" s="5">
        <v>6</v>
      </c>
      <c r="B47" s="5" t="s">
        <v>41</v>
      </c>
      <c r="C47" s="5" t="s">
        <v>37</v>
      </c>
      <c r="D47" s="5" t="s">
        <v>38</v>
      </c>
      <c r="E47" s="5" t="s">
        <v>39</v>
      </c>
      <c r="F47" s="6" t="s">
        <v>127</v>
      </c>
      <c r="G47" s="6">
        <v>0.5</v>
      </c>
      <c r="H47" s="6">
        <v>0.5</v>
      </c>
      <c r="I47" s="6">
        <v>0.5</v>
      </c>
      <c r="J47" s="5">
        <f t="shared" si="0"/>
        <v>3</v>
      </c>
      <c r="K47" s="5">
        <f t="shared" si="1"/>
        <v>3</v>
      </c>
      <c r="L47" s="7">
        <f t="shared" si="2"/>
        <v>0.5</v>
      </c>
      <c r="M47" s="7">
        <f t="shared" si="3"/>
        <v>0</v>
      </c>
      <c r="N47" s="7">
        <f t="shared" si="4"/>
        <v>0</v>
      </c>
      <c r="O47" s="7">
        <f t="shared" si="5"/>
        <v>0</v>
      </c>
      <c r="P47" s="7">
        <f t="shared" si="6"/>
        <v>0</v>
      </c>
      <c r="Q47" s="5">
        <f t="shared" si="7"/>
        <v>0</v>
      </c>
      <c r="R47" s="7">
        <f>IF(OR(L47="",Baseline!$C$7=""),"",ABS(L47-Baseline!$C$7))</f>
        <v>0</v>
      </c>
    </row>
    <row r="48" spans="1:18" x14ac:dyDescent="0.3">
      <c r="A48" s="5">
        <v>7</v>
      </c>
      <c r="B48" s="5" t="s">
        <v>41</v>
      </c>
      <c r="C48" s="5" t="s">
        <v>37</v>
      </c>
      <c r="D48" s="5" t="s">
        <v>38</v>
      </c>
      <c r="E48" s="5" t="s">
        <v>39</v>
      </c>
      <c r="F48" s="6" t="s">
        <v>128</v>
      </c>
      <c r="G48" s="6">
        <v>0.5</v>
      </c>
      <c r="H48" s="6">
        <v>0.5</v>
      </c>
      <c r="I48" s="6">
        <v>0.5</v>
      </c>
      <c r="J48" s="5">
        <f t="shared" si="0"/>
        <v>3</v>
      </c>
      <c r="K48" s="5">
        <f t="shared" si="1"/>
        <v>3</v>
      </c>
      <c r="L48" s="7">
        <f t="shared" si="2"/>
        <v>0.5</v>
      </c>
      <c r="M48" s="7">
        <f t="shared" si="3"/>
        <v>0</v>
      </c>
      <c r="N48" s="7">
        <f t="shared" si="4"/>
        <v>0</v>
      </c>
      <c r="O48" s="7">
        <f t="shared" si="5"/>
        <v>0</v>
      </c>
      <c r="P48" s="7">
        <f t="shared" si="6"/>
        <v>0</v>
      </c>
      <c r="Q48" s="5">
        <f t="shared" si="7"/>
        <v>0</v>
      </c>
      <c r="R48" s="7">
        <f>IF(OR(L48="",Baseline!$C$7=""),"",ABS(L48-Baseline!$C$7))</f>
        <v>0</v>
      </c>
    </row>
    <row r="49" spans="1:18" x14ac:dyDescent="0.3">
      <c r="A49" s="5">
        <v>8</v>
      </c>
      <c r="B49" s="5" t="s">
        <v>41</v>
      </c>
      <c r="C49" s="5" t="s">
        <v>37</v>
      </c>
      <c r="D49" s="5" t="s">
        <v>38</v>
      </c>
      <c r="E49" s="5" t="s">
        <v>39</v>
      </c>
      <c r="F49" s="6" t="s">
        <v>129</v>
      </c>
      <c r="G49" s="6">
        <v>0.5</v>
      </c>
      <c r="H49" s="6">
        <v>0.5</v>
      </c>
      <c r="I49" s="6">
        <v>0.5</v>
      </c>
      <c r="J49" s="5">
        <f t="shared" si="0"/>
        <v>3</v>
      </c>
      <c r="K49" s="5">
        <f t="shared" si="1"/>
        <v>3</v>
      </c>
      <c r="L49" s="7">
        <f t="shared" si="2"/>
        <v>0.5</v>
      </c>
      <c r="M49" s="7">
        <f t="shared" si="3"/>
        <v>0</v>
      </c>
      <c r="N49" s="7">
        <f t="shared" si="4"/>
        <v>0</v>
      </c>
      <c r="O49" s="7">
        <f t="shared" si="5"/>
        <v>0</v>
      </c>
      <c r="P49" s="7">
        <f t="shared" si="6"/>
        <v>0</v>
      </c>
      <c r="Q49" s="5">
        <f t="shared" si="7"/>
        <v>0</v>
      </c>
      <c r="R49" s="7">
        <f>IF(OR(L49="",Baseline!$C$7=""),"",ABS(L49-Baseline!$C$7))</f>
        <v>0</v>
      </c>
    </row>
    <row r="50" spans="1:18" x14ac:dyDescent="0.3">
      <c r="A50" s="5">
        <v>9</v>
      </c>
      <c r="B50" s="5" t="s">
        <v>41</v>
      </c>
      <c r="C50" s="5" t="s">
        <v>37</v>
      </c>
      <c r="D50" s="5" t="s">
        <v>38</v>
      </c>
      <c r="E50" s="5" t="s">
        <v>39</v>
      </c>
      <c r="F50" s="6" t="s">
        <v>130</v>
      </c>
      <c r="G50" s="6">
        <v>0.5</v>
      </c>
      <c r="H50" s="6">
        <v>0.5</v>
      </c>
      <c r="I50" s="6">
        <v>1</v>
      </c>
      <c r="J50" s="5">
        <f t="shared" si="0"/>
        <v>3</v>
      </c>
      <c r="K50" s="5">
        <f t="shared" si="1"/>
        <v>3</v>
      </c>
      <c r="L50" s="7">
        <f t="shared" si="2"/>
        <v>0.66666666666666663</v>
      </c>
      <c r="M50" s="7">
        <f t="shared" si="3"/>
        <v>0</v>
      </c>
      <c r="N50" s="7">
        <f t="shared" si="4"/>
        <v>0</v>
      </c>
      <c r="O50" s="7">
        <f t="shared" si="5"/>
        <v>0.5</v>
      </c>
      <c r="P50" s="7">
        <f t="shared" si="6"/>
        <v>0.25</v>
      </c>
      <c r="Q50" s="5">
        <f t="shared" si="7"/>
        <v>0</v>
      </c>
      <c r="R50" s="7">
        <f>IF(OR(L50="",Baseline!$C$7=""),"",ABS(L50-Baseline!$C$7))</f>
        <v>0.16666666666666663</v>
      </c>
    </row>
    <row r="51" spans="1:18" x14ac:dyDescent="0.3">
      <c r="A51" s="5">
        <v>10</v>
      </c>
      <c r="B51" s="5" t="s">
        <v>41</v>
      </c>
      <c r="C51" s="5" t="s">
        <v>37</v>
      </c>
      <c r="D51" s="5" t="s">
        <v>38</v>
      </c>
      <c r="E51" s="5" t="s">
        <v>39</v>
      </c>
      <c r="F51" s="6" t="s">
        <v>131</v>
      </c>
      <c r="G51" s="6">
        <v>0.5</v>
      </c>
      <c r="H51" s="6">
        <v>0.5</v>
      </c>
      <c r="I51" s="6">
        <v>0.5</v>
      </c>
      <c r="J51" s="5">
        <f t="shared" si="0"/>
        <v>3</v>
      </c>
      <c r="K51" s="5">
        <f t="shared" si="1"/>
        <v>3</v>
      </c>
      <c r="L51" s="7">
        <f t="shared" si="2"/>
        <v>0.5</v>
      </c>
      <c r="M51" s="7">
        <f t="shared" si="3"/>
        <v>0</v>
      </c>
      <c r="N51" s="7">
        <f t="shared" si="4"/>
        <v>0</v>
      </c>
      <c r="O51" s="7">
        <f t="shared" si="5"/>
        <v>0</v>
      </c>
      <c r="P51" s="7">
        <f t="shared" si="6"/>
        <v>0</v>
      </c>
      <c r="Q51" s="5">
        <f t="shared" si="7"/>
        <v>0</v>
      </c>
      <c r="R51" s="7">
        <f>IF(OR(L51="",Baseline!$C$7=""),"",ABS(L51-Baseline!$C$7))</f>
        <v>0</v>
      </c>
    </row>
    <row r="52" spans="1:18" x14ac:dyDescent="0.3">
      <c r="A52" s="5">
        <v>11</v>
      </c>
      <c r="B52" s="5" t="s">
        <v>41</v>
      </c>
      <c r="C52" s="5" t="s">
        <v>37</v>
      </c>
      <c r="D52" s="5" t="s">
        <v>38</v>
      </c>
      <c r="E52" s="5" t="s">
        <v>39</v>
      </c>
      <c r="F52" s="6" t="s">
        <v>132</v>
      </c>
      <c r="G52" s="6">
        <v>1</v>
      </c>
      <c r="H52" s="6">
        <v>0.5</v>
      </c>
      <c r="I52" s="6">
        <v>0.5</v>
      </c>
      <c r="J52" s="5">
        <f t="shared" si="0"/>
        <v>3</v>
      </c>
      <c r="K52" s="5">
        <f t="shared" si="1"/>
        <v>3</v>
      </c>
      <c r="L52" s="7">
        <f t="shared" si="2"/>
        <v>0.66666666666666663</v>
      </c>
      <c r="M52" s="7">
        <f t="shared" si="3"/>
        <v>0</v>
      </c>
      <c r="N52" s="7">
        <f t="shared" si="4"/>
        <v>0.5</v>
      </c>
      <c r="O52" s="7">
        <f t="shared" si="5"/>
        <v>0</v>
      </c>
      <c r="P52" s="7">
        <f t="shared" si="6"/>
        <v>0.25</v>
      </c>
      <c r="Q52" s="5">
        <f t="shared" si="7"/>
        <v>0</v>
      </c>
      <c r="R52" s="7">
        <f>IF(OR(L52="",Baseline!$C$7=""),"",ABS(L52-Baseline!$C$7))</f>
        <v>0.16666666666666663</v>
      </c>
    </row>
    <row r="53" spans="1:18" x14ac:dyDescent="0.3">
      <c r="A53" s="5">
        <v>12</v>
      </c>
      <c r="B53" s="5" t="s">
        <v>41</v>
      </c>
      <c r="C53" s="5" t="s">
        <v>37</v>
      </c>
      <c r="D53" s="5" t="s">
        <v>38</v>
      </c>
      <c r="E53" s="5" t="s">
        <v>39</v>
      </c>
      <c r="F53" s="6" t="s">
        <v>133</v>
      </c>
      <c r="G53" s="6">
        <v>0.5</v>
      </c>
      <c r="H53" s="6">
        <v>0.5</v>
      </c>
      <c r="I53" s="6">
        <v>0.5</v>
      </c>
      <c r="J53" s="5">
        <f t="shared" si="0"/>
        <v>3</v>
      </c>
      <c r="K53" s="5">
        <f t="shared" si="1"/>
        <v>3</v>
      </c>
      <c r="L53" s="7">
        <f t="shared" si="2"/>
        <v>0.5</v>
      </c>
      <c r="M53" s="7">
        <f t="shared" si="3"/>
        <v>0</v>
      </c>
      <c r="N53" s="7">
        <f t="shared" si="4"/>
        <v>0</v>
      </c>
      <c r="O53" s="7">
        <f t="shared" si="5"/>
        <v>0</v>
      </c>
      <c r="P53" s="7">
        <f t="shared" si="6"/>
        <v>0</v>
      </c>
      <c r="Q53" s="5">
        <f t="shared" si="7"/>
        <v>0</v>
      </c>
      <c r="R53" s="7">
        <f>IF(OR(L53="",Baseline!$C$7=""),"",ABS(L53-Baseline!$C$7))</f>
        <v>0</v>
      </c>
    </row>
    <row r="54" spans="1:18" x14ac:dyDescent="0.3">
      <c r="A54" s="5">
        <v>13</v>
      </c>
      <c r="B54" s="5" t="s">
        <v>41</v>
      </c>
      <c r="C54" s="5" t="s">
        <v>37</v>
      </c>
      <c r="D54" s="5" t="s">
        <v>38</v>
      </c>
      <c r="E54" s="5" t="s">
        <v>39</v>
      </c>
      <c r="F54" s="6" t="s">
        <v>134</v>
      </c>
      <c r="G54" s="6">
        <v>0.5</v>
      </c>
      <c r="H54" s="6">
        <v>13</v>
      </c>
      <c r="I54" s="6">
        <v>0.5</v>
      </c>
      <c r="J54" s="5">
        <f t="shared" si="0"/>
        <v>3</v>
      </c>
      <c r="K54" s="5">
        <f t="shared" si="1"/>
        <v>3</v>
      </c>
      <c r="L54" s="7">
        <f t="shared" si="2"/>
        <v>4.666666666666667</v>
      </c>
      <c r="M54" s="7">
        <f t="shared" si="3"/>
        <v>0</v>
      </c>
      <c r="N54" s="7">
        <f t="shared" si="4"/>
        <v>12.5</v>
      </c>
      <c r="O54" s="7">
        <f t="shared" si="5"/>
        <v>12.5</v>
      </c>
      <c r="P54" s="7">
        <f t="shared" si="6"/>
        <v>12.5</v>
      </c>
      <c r="Q54" s="5">
        <f t="shared" si="7"/>
        <v>0</v>
      </c>
      <c r="R54" s="7">
        <f>IF(OR(L54="",Baseline!$C$7=""),"",ABS(L54-Baseline!$C$7))</f>
        <v>4.166666666666667</v>
      </c>
    </row>
    <row r="55" spans="1:18" x14ac:dyDescent="0.3">
      <c r="A55" s="5">
        <v>14</v>
      </c>
      <c r="B55" s="5" t="s">
        <v>41</v>
      </c>
      <c r="C55" s="5" t="s">
        <v>37</v>
      </c>
      <c r="D55" s="5" t="s">
        <v>38</v>
      </c>
      <c r="E55" s="5" t="s">
        <v>39</v>
      </c>
      <c r="F55" s="6" t="s">
        <v>135</v>
      </c>
      <c r="G55" s="6">
        <v>0.5</v>
      </c>
      <c r="H55" s="6">
        <v>0.5</v>
      </c>
      <c r="I55" s="6">
        <v>0.5</v>
      </c>
      <c r="J55" s="5">
        <f t="shared" si="0"/>
        <v>3</v>
      </c>
      <c r="K55" s="5">
        <f t="shared" si="1"/>
        <v>3</v>
      </c>
      <c r="L55" s="7">
        <f t="shared" si="2"/>
        <v>0.5</v>
      </c>
      <c r="M55" s="7">
        <f t="shared" si="3"/>
        <v>0</v>
      </c>
      <c r="N55" s="7">
        <f t="shared" si="4"/>
        <v>0</v>
      </c>
      <c r="O55" s="7">
        <f t="shared" si="5"/>
        <v>0</v>
      </c>
      <c r="P55" s="7">
        <f t="shared" si="6"/>
        <v>0</v>
      </c>
      <c r="Q55" s="5">
        <f t="shared" si="7"/>
        <v>0</v>
      </c>
      <c r="R55" s="7">
        <f>IF(OR(L55="",Baseline!$C$7=""),"",ABS(L55-Baseline!$C$7))</f>
        <v>0</v>
      </c>
    </row>
    <row r="56" spans="1:18" x14ac:dyDescent="0.3">
      <c r="A56" s="5">
        <v>15</v>
      </c>
      <c r="B56" s="5" t="s">
        <v>41</v>
      </c>
      <c r="C56" s="5" t="s">
        <v>37</v>
      </c>
      <c r="D56" s="5" t="s">
        <v>38</v>
      </c>
      <c r="E56" s="5" t="s">
        <v>39</v>
      </c>
      <c r="F56" s="6" t="s">
        <v>136</v>
      </c>
      <c r="G56" s="6">
        <v>0.5</v>
      </c>
      <c r="H56" s="6">
        <v>0.5</v>
      </c>
      <c r="I56" s="6">
        <v>0.5</v>
      </c>
      <c r="J56" s="5">
        <f t="shared" si="0"/>
        <v>3</v>
      </c>
      <c r="K56" s="5">
        <f t="shared" si="1"/>
        <v>3</v>
      </c>
      <c r="L56" s="7">
        <f t="shared" si="2"/>
        <v>0.5</v>
      </c>
      <c r="M56" s="7">
        <f t="shared" si="3"/>
        <v>0</v>
      </c>
      <c r="N56" s="7">
        <f t="shared" si="4"/>
        <v>0</v>
      </c>
      <c r="O56" s="7">
        <f t="shared" si="5"/>
        <v>0</v>
      </c>
      <c r="P56" s="7">
        <f t="shared" si="6"/>
        <v>0</v>
      </c>
      <c r="Q56" s="5">
        <f t="shared" si="7"/>
        <v>0</v>
      </c>
      <c r="R56" s="7">
        <f>IF(OR(L56="",Baseline!$C$7=""),"",ABS(L56-Baseline!$C$7))</f>
        <v>0</v>
      </c>
    </row>
    <row r="57" spans="1:18" x14ac:dyDescent="0.3">
      <c r="A57" s="5">
        <v>16</v>
      </c>
      <c r="B57" s="5" t="s">
        <v>41</v>
      </c>
      <c r="C57" s="5" t="s">
        <v>37</v>
      </c>
      <c r="D57" s="5" t="s">
        <v>38</v>
      </c>
      <c r="E57" s="5" t="s">
        <v>39</v>
      </c>
      <c r="F57" s="6" t="s">
        <v>137</v>
      </c>
      <c r="G57" s="6">
        <v>0.5</v>
      </c>
      <c r="H57" s="6">
        <v>0.5</v>
      </c>
      <c r="I57" s="6">
        <v>0.5</v>
      </c>
      <c r="J57" s="5">
        <f t="shared" si="0"/>
        <v>3</v>
      </c>
      <c r="K57" s="5">
        <f t="shared" si="1"/>
        <v>3</v>
      </c>
      <c r="L57" s="7">
        <f t="shared" si="2"/>
        <v>0.5</v>
      </c>
      <c r="M57" s="7">
        <f t="shared" si="3"/>
        <v>0</v>
      </c>
      <c r="N57" s="7">
        <f t="shared" si="4"/>
        <v>0</v>
      </c>
      <c r="O57" s="7">
        <f t="shared" si="5"/>
        <v>0</v>
      </c>
      <c r="P57" s="7">
        <f t="shared" si="6"/>
        <v>0</v>
      </c>
      <c r="Q57" s="5">
        <f t="shared" si="7"/>
        <v>0</v>
      </c>
      <c r="R57" s="7">
        <f>IF(OR(L57="",Baseline!$C$7=""),"",ABS(L57-Baseline!$C$7))</f>
        <v>0</v>
      </c>
    </row>
    <row r="58" spans="1:18" x14ac:dyDescent="0.3">
      <c r="A58" s="5">
        <v>17</v>
      </c>
      <c r="B58" s="5" t="s">
        <v>41</v>
      </c>
      <c r="C58" s="5" t="s">
        <v>37</v>
      </c>
      <c r="D58" s="5" t="s">
        <v>38</v>
      </c>
      <c r="E58" s="5" t="s">
        <v>39</v>
      </c>
      <c r="F58" s="6" t="s">
        <v>138</v>
      </c>
      <c r="G58" s="6">
        <v>0.5</v>
      </c>
      <c r="H58" s="6">
        <v>0.5</v>
      </c>
      <c r="I58" s="6">
        <v>0.5</v>
      </c>
      <c r="J58" s="5">
        <f t="shared" si="0"/>
        <v>3</v>
      </c>
      <c r="K58" s="5">
        <f t="shared" si="1"/>
        <v>3</v>
      </c>
      <c r="L58" s="7">
        <f t="shared" si="2"/>
        <v>0.5</v>
      </c>
      <c r="M58" s="7">
        <f t="shared" si="3"/>
        <v>0</v>
      </c>
      <c r="N58" s="7">
        <f t="shared" si="4"/>
        <v>0</v>
      </c>
      <c r="O58" s="7">
        <f t="shared" si="5"/>
        <v>0</v>
      </c>
      <c r="P58" s="7">
        <f t="shared" si="6"/>
        <v>0</v>
      </c>
      <c r="Q58" s="5">
        <f t="shared" si="7"/>
        <v>0</v>
      </c>
      <c r="R58" s="7">
        <f>IF(OR(L58="",Baseline!$C$7=""),"",ABS(L58-Baseline!$C$7))</f>
        <v>0</v>
      </c>
    </row>
    <row r="59" spans="1:18" x14ac:dyDescent="0.3">
      <c r="A59" s="5">
        <v>18</v>
      </c>
      <c r="B59" s="5" t="s">
        <v>41</v>
      </c>
      <c r="C59" s="5" t="s">
        <v>37</v>
      </c>
      <c r="D59" s="5" t="s">
        <v>38</v>
      </c>
      <c r="E59" s="5" t="s">
        <v>39</v>
      </c>
      <c r="F59" s="6" t="s">
        <v>139</v>
      </c>
      <c r="G59" s="6">
        <v>0.5</v>
      </c>
      <c r="H59" s="6">
        <v>1</v>
      </c>
      <c r="I59" s="6">
        <v>0.5</v>
      </c>
      <c r="J59" s="5">
        <f t="shared" si="0"/>
        <v>3</v>
      </c>
      <c r="K59" s="5">
        <f t="shared" si="1"/>
        <v>3</v>
      </c>
      <c r="L59" s="7">
        <f t="shared" si="2"/>
        <v>0.66666666666666663</v>
      </c>
      <c r="M59" s="7">
        <f t="shared" si="3"/>
        <v>0</v>
      </c>
      <c r="N59" s="7">
        <f t="shared" si="4"/>
        <v>0.5</v>
      </c>
      <c r="O59" s="7">
        <f t="shared" si="5"/>
        <v>0.5</v>
      </c>
      <c r="P59" s="7">
        <f t="shared" si="6"/>
        <v>0.5</v>
      </c>
      <c r="Q59" s="5">
        <f t="shared" si="7"/>
        <v>0</v>
      </c>
      <c r="R59" s="7">
        <f>IF(OR(L59="",Baseline!$C$7=""),"",ABS(L59-Baseline!$C$7))</f>
        <v>0.16666666666666663</v>
      </c>
    </row>
    <row r="60" spans="1:18" x14ac:dyDescent="0.3">
      <c r="A60" s="5">
        <v>19</v>
      </c>
      <c r="B60" s="5" t="s">
        <v>41</v>
      </c>
      <c r="C60" s="5" t="s">
        <v>37</v>
      </c>
      <c r="D60" s="5" t="s">
        <v>38</v>
      </c>
      <c r="E60" s="5" t="s">
        <v>39</v>
      </c>
      <c r="F60" s="6" t="s">
        <v>140</v>
      </c>
      <c r="G60" s="6">
        <v>0.5</v>
      </c>
      <c r="H60" s="6">
        <v>0.5</v>
      </c>
      <c r="I60" s="6">
        <v>0.5</v>
      </c>
      <c r="J60" s="5">
        <f t="shared" si="0"/>
        <v>3</v>
      </c>
      <c r="K60" s="5">
        <f t="shared" si="1"/>
        <v>3</v>
      </c>
      <c r="L60" s="7">
        <f t="shared" si="2"/>
        <v>0.5</v>
      </c>
      <c r="M60" s="7">
        <f t="shared" si="3"/>
        <v>0</v>
      </c>
      <c r="N60" s="7">
        <f t="shared" si="4"/>
        <v>0</v>
      </c>
      <c r="O60" s="7">
        <f t="shared" si="5"/>
        <v>0</v>
      </c>
      <c r="P60" s="7">
        <f t="shared" si="6"/>
        <v>0</v>
      </c>
      <c r="Q60" s="5">
        <f t="shared" si="7"/>
        <v>0</v>
      </c>
      <c r="R60" s="7">
        <f>IF(OR(L60="",Baseline!$C$7=""),"",ABS(L60-Baseline!$C$7))</f>
        <v>0</v>
      </c>
    </row>
    <row r="61" spans="1:18" x14ac:dyDescent="0.3">
      <c r="A61" s="5">
        <v>20</v>
      </c>
      <c r="B61" s="5" t="s">
        <v>41</v>
      </c>
      <c r="C61" s="5" t="s">
        <v>37</v>
      </c>
      <c r="D61" s="5" t="s">
        <v>38</v>
      </c>
      <c r="E61" s="5" t="s">
        <v>39</v>
      </c>
      <c r="F61" s="6" t="s">
        <v>141</v>
      </c>
      <c r="G61" s="6">
        <v>0.5</v>
      </c>
      <c r="H61" s="6">
        <v>0.5</v>
      </c>
      <c r="I61" s="6">
        <v>1</v>
      </c>
      <c r="J61" s="5">
        <f t="shared" si="0"/>
        <v>3</v>
      </c>
      <c r="K61" s="5">
        <f t="shared" si="1"/>
        <v>3</v>
      </c>
      <c r="L61" s="7">
        <f t="shared" si="2"/>
        <v>0.66666666666666663</v>
      </c>
      <c r="M61" s="7">
        <f t="shared" si="3"/>
        <v>0</v>
      </c>
      <c r="N61" s="7">
        <f t="shared" si="4"/>
        <v>0</v>
      </c>
      <c r="O61" s="7">
        <f t="shared" si="5"/>
        <v>0.5</v>
      </c>
      <c r="P61" s="7">
        <f t="shared" si="6"/>
        <v>0.25</v>
      </c>
      <c r="Q61" s="5">
        <f t="shared" si="7"/>
        <v>0</v>
      </c>
      <c r="R61" s="7">
        <f>IF(OR(L61="",Baseline!$C$7=""),"",ABS(L61-Baseline!$C$7))</f>
        <v>0.16666666666666663</v>
      </c>
    </row>
    <row r="62" spans="1:18" x14ac:dyDescent="0.3">
      <c r="A62" s="5">
        <v>1</v>
      </c>
      <c r="B62" s="5" t="s">
        <v>42</v>
      </c>
      <c r="C62" s="5" t="s">
        <v>37</v>
      </c>
      <c r="D62" s="5" t="s">
        <v>38</v>
      </c>
      <c r="E62" s="5" t="s">
        <v>39</v>
      </c>
      <c r="F62" s="6" t="s">
        <v>142</v>
      </c>
      <c r="G62" s="6" t="s">
        <v>102</v>
      </c>
      <c r="H62" s="6">
        <v>8</v>
      </c>
      <c r="I62" s="6">
        <v>1</v>
      </c>
      <c r="J62" s="5">
        <f t="shared" si="0"/>
        <v>3</v>
      </c>
      <c r="K62" s="5">
        <f t="shared" si="1"/>
        <v>2</v>
      </c>
      <c r="L62" s="7">
        <f t="shared" si="2"/>
        <v>4.5</v>
      </c>
      <c r="M62" s="7">
        <f t="shared" si="3"/>
        <v>33.333333333333329</v>
      </c>
      <c r="N62" s="7" t="str">
        <f t="shared" si="4"/>
        <v/>
      </c>
      <c r="O62" s="7">
        <f t="shared" si="5"/>
        <v>7</v>
      </c>
      <c r="P62" s="7">
        <f t="shared" si="6"/>
        <v>7</v>
      </c>
      <c r="Q62" s="5">
        <f t="shared" si="7"/>
        <v>0</v>
      </c>
      <c r="R62" s="7">
        <f>IF(OR(L62="",Baseline!$C$8=""),"",ABS(L62-Baseline!$C$8))</f>
        <v>4.1666666666666661</v>
      </c>
    </row>
    <row r="63" spans="1:18" x14ac:dyDescent="0.3">
      <c r="A63" s="5">
        <v>2</v>
      </c>
      <c r="B63" s="5" t="s">
        <v>42</v>
      </c>
      <c r="C63" s="5" t="s">
        <v>37</v>
      </c>
      <c r="D63" s="5" t="s">
        <v>38</v>
      </c>
      <c r="E63" s="5" t="s">
        <v>39</v>
      </c>
      <c r="F63" s="6" t="s">
        <v>143</v>
      </c>
      <c r="G63" s="6">
        <v>22</v>
      </c>
      <c r="H63" s="6">
        <v>1</v>
      </c>
      <c r="I63" s="6">
        <v>2</v>
      </c>
      <c r="J63" s="5">
        <f t="shared" si="0"/>
        <v>3</v>
      </c>
      <c r="K63" s="5">
        <f t="shared" si="1"/>
        <v>3</v>
      </c>
      <c r="L63" s="7">
        <f t="shared" si="2"/>
        <v>8.3333333333333339</v>
      </c>
      <c r="M63" s="7">
        <f t="shared" si="3"/>
        <v>0</v>
      </c>
      <c r="N63" s="7">
        <f t="shared" si="4"/>
        <v>21</v>
      </c>
      <c r="O63" s="7">
        <f t="shared" si="5"/>
        <v>1</v>
      </c>
      <c r="P63" s="7">
        <f t="shared" si="6"/>
        <v>11</v>
      </c>
      <c r="Q63" s="5">
        <f t="shared" si="7"/>
        <v>0</v>
      </c>
      <c r="R63" s="7">
        <f>IF(OR(L63="",Baseline!$C$8=""),"",ABS(L63-Baseline!$C$8))</f>
        <v>0.33333333333333215</v>
      </c>
    </row>
    <row r="64" spans="1:18" x14ac:dyDescent="0.3">
      <c r="A64" s="5">
        <v>3</v>
      </c>
      <c r="B64" s="5" t="s">
        <v>42</v>
      </c>
      <c r="C64" s="5" t="s">
        <v>37</v>
      </c>
      <c r="D64" s="5" t="s">
        <v>38</v>
      </c>
      <c r="E64" s="5" t="s">
        <v>39</v>
      </c>
      <c r="F64" s="6" t="s">
        <v>144</v>
      </c>
      <c r="G64" s="6">
        <v>21</v>
      </c>
      <c r="H64" s="6">
        <v>21</v>
      </c>
      <c r="I64" s="6">
        <v>20</v>
      </c>
      <c r="J64" s="5">
        <f t="shared" si="0"/>
        <v>3</v>
      </c>
      <c r="K64" s="5">
        <f t="shared" si="1"/>
        <v>3</v>
      </c>
      <c r="L64" s="7">
        <f t="shared" si="2"/>
        <v>20.666666666666668</v>
      </c>
      <c r="M64" s="7">
        <f t="shared" si="3"/>
        <v>0</v>
      </c>
      <c r="N64" s="7">
        <f t="shared" si="4"/>
        <v>0</v>
      </c>
      <c r="O64" s="7">
        <f t="shared" si="5"/>
        <v>1</v>
      </c>
      <c r="P64" s="7">
        <f t="shared" si="6"/>
        <v>0.5</v>
      </c>
      <c r="Q64" s="5">
        <f t="shared" si="7"/>
        <v>0</v>
      </c>
      <c r="R64" s="7">
        <f>IF(OR(L64="",Baseline!$C$8=""),"",ABS(L64-Baseline!$C$8))</f>
        <v>12.000000000000002</v>
      </c>
    </row>
    <row r="65" spans="1:18" x14ac:dyDescent="0.3">
      <c r="A65" s="5">
        <v>4</v>
      </c>
      <c r="B65" s="5" t="s">
        <v>42</v>
      </c>
      <c r="C65" s="5" t="s">
        <v>37</v>
      </c>
      <c r="D65" s="5" t="s">
        <v>38</v>
      </c>
      <c r="E65" s="5" t="s">
        <v>39</v>
      </c>
      <c r="F65" s="6" t="s">
        <v>145</v>
      </c>
      <c r="G65" s="6">
        <v>1</v>
      </c>
      <c r="H65" s="6">
        <v>1</v>
      </c>
      <c r="I65" s="6">
        <v>1</v>
      </c>
      <c r="J65" s="5">
        <f t="shared" si="0"/>
        <v>3</v>
      </c>
      <c r="K65" s="5">
        <f t="shared" si="1"/>
        <v>3</v>
      </c>
      <c r="L65" s="7">
        <f t="shared" si="2"/>
        <v>1</v>
      </c>
      <c r="M65" s="7">
        <f t="shared" si="3"/>
        <v>0</v>
      </c>
      <c r="N65" s="7">
        <f t="shared" si="4"/>
        <v>0</v>
      </c>
      <c r="O65" s="7">
        <f t="shared" si="5"/>
        <v>0</v>
      </c>
      <c r="P65" s="7">
        <f t="shared" si="6"/>
        <v>0</v>
      </c>
      <c r="Q65" s="5">
        <f t="shared" si="7"/>
        <v>0</v>
      </c>
      <c r="R65" s="7">
        <f>IF(OR(L65="",Baseline!$C$8=""),"",ABS(L65-Baseline!$C$8))</f>
        <v>7.6666666666666661</v>
      </c>
    </row>
    <row r="66" spans="1:18" x14ac:dyDescent="0.3">
      <c r="A66" s="5">
        <v>5</v>
      </c>
      <c r="B66" s="5" t="s">
        <v>42</v>
      </c>
      <c r="C66" s="5" t="s">
        <v>37</v>
      </c>
      <c r="D66" s="5" t="s">
        <v>38</v>
      </c>
      <c r="E66" s="5" t="s">
        <v>39</v>
      </c>
      <c r="F66" s="6" t="s">
        <v>146</v>
      </c>
      <c r="G66" s="6">
        <v>20</v>
      </c>
      <c r="H66" s="6">
        <v>19</v>
      </c>
      <c r="I66" s="6">
        <v>10</v>
      </c>
      <c r="J66" s="5">
        <f t="shared" ref="J66:J129" si="8">IF(COUNTA(G66:I66)=0,"",3)</f>
        <v>3</v>
      </c>
      <c r="K66" s="5">
        <f t="shared" ref="K66:K129" si="9">IF(J66="","",COUNT(G66:I66))</f>
        <v>3</v>
      </c>
      <c r="L66" s="7">
        <f t="shared" ref="L66:L129" si="10">IF(OR(K66="",K66=0),"",AVERAGE(G66:I66))</f>
        <v>16.333333333333332</v>
      </c>
      <c r="M66" s="7">
        <f t="shared" ref="M66:M129" si="11">IF(K66="","",(J66-K66)/J66*100)</f>
        <v>0</v>
      </c>
      <c r="N66" s="7">
        <f t="shared" ref="N66:N129" si="12">IF(AND(ISNUMBER(G66),ISNUMBER(H66)),ABS(H66-G66),"")</f>
        <v>1</v>
      </c>
      <c r="O66" s="7">
        <f t="shared" ref="O66:O129" si="13">IF(AND(ISNUMBER(H66),ISNUMBER(I66)),ABS(I66-H66),"")</f>
        <v>9</v>
      </c>
      <c r="P66" s="7">
        <f t="shared" ref="P66:P129" si="14">IF(K66="","",IFERROR(AVERAGE(N66,O66),""))</f>
        <v>5</v>
      </c>
      <c r="Q66" s="5">
        <f t="shared" ref="Q66:Q129" si="15">IF(K66="","",IF(K66=0,1,0))</f>
        <v>0</v>
      </c>
      <c r="R66" s="7">
        <f>IF(OR(L66="",Baseline!$C$8=""),"",ABS(L66-Baseline!$C$8))</f>
        <v>7.6666666666666661</v>
      </c>
    </row>
    <row r="67" spans="1:18" x14ac:dyDescent="0.3">
      <c r="A67" s="5">
        <v>6</v>
      </c>
      <c r="B67" s="5" t="s">
        <v>42</v>
      </c>
      <c r="C67" s="5" t="s">
        <v>37</v>
      </c>
      <c r="D67" s="5" t="s">
        <v>38</v>
      </c>
      <c r="E67" s="5" t="s">
        <v>39</v>
      </c>
      <c r="F67" s="6" t="s">
        <v>147</v>
      </c>
      <c r="G67" s="6">
        <v>21</v>
      </c>
      <c r="H67" s="6">
        <v>1</v>
      </c>
      <c r="I67" s="6">
        <v>2</v>
      </c>
      <c r="J67" s="5">
        <f t="shared" si="8"/>
        <v>3</v>
      </c>
      <c r="K67" s="5">
        <f t="shared" si="9"/>
        <v>3</v>
      </c>
      <c r="L67" s="7">
        <f t="shared" si="10"/>
        <v>8</v>
      </c>
      <c r="M67" s="7">
        <f t="shared" si="11"/>
        <v>0</v>
      </c>
      <c r="N67" s="7">
        <f t="shared" si="12"/>
        <v>20</v>
      </c>
      <c r="O67" s="7">
        <f t="shared" si="13"/>
        <v>1</v>
      </c>
      <c r="P67" s="7">
        <f t="shared" si="14"/>
        <v>10.5</v>
      </c>
      <c r="Q67" s="5">
        <f t="shared" si="15"/>
        <v>0</v>
      </c>
      <c r="R67" s="7">
        <f>IF(OR(L67="",Baseline!$C$8=""),"",ABS(L67-Baseline!$C$8))</f>
        <v>0.66666666666666607</v>
      </c>
    </row>
    <row r="68" spans="1:18" x14ac:dyDescent="0.3">
      <c r="A68" s="5">
        <v>7</v>
      </c>
      <c r="B68" s="5" t="s">
        <v>42</v>
      </c>
      <c r="C68" s="5" t="s">
        <v>37</v>
      </c>
      <c r="D68" s="5" t="s">
        <v>38</v>
      </c>
      <c r="E68" s="5" t="s">
        <v>39</v>
      </c>
      <c r="F68" s="6" t="s">
        <v>148</v>
      </c>
      <c r="G68" s="6">
        <v>37</v>
      </c>
      <c r="H68" s="6">
        <v>12</v>
      </c>
      <c r="I68" s="6">
        <v>1</v>
      </c>
      <c r="J68" s="5">
        <f t="shared" si="8"/>
        <v>3</v>
      </c>
      <c r="K68" s="5">
        <f t="shared" si="9"/>
        <v>3</v>
      </c>
      <c r="L68" s="7">
        <f t="shared" si="10"/>
        <v>16.666666666666668</v>
      </c>
      <c r="M68" s="7">
        <f t="shared" si="11"/>
        <v>0</v>
      </c>
      <c r="N68" s="7">
        <f t="shared" si="12"/>
        <v>25</v>
      </c>
      <c r="O68" s="7">
        <f t="shared" si="13"/>
        <v>11</v>
      </c>
      <c r="P68" s="7">
        <f t="shared" si="14"/>
        <v>18</v>
      </c>
      <c r="Q68" s="5">
        <f t="shared" si="15"/>
        <v>0</v>
      </c>
      <c r="R68" s="7">
        <f>IF(OR(L68="",Baseline!$C$8=""),"",ABS(L68-Baseline!$C$8))</f>
        <v>8.0000000000000018</v>
      </c>
    </row>
    <row r="69" spans="1:18" x14ac:dyDescent="0.3">
      <c r="A69" s="5">
        <v>8</v>
      </c>
      <c r="B69" s="5" t="s">
        <v>42</v>
      </c>
      <c r="C69" s="5" t="s">
        <v>37</v>
      </c>
      <c r="D69" s="5" t="s">
        <v>38</v>
      </c>
      <c r="E69" s="5" t="s">
        <v>39</v>
      </c>
      <c r="F69" s="6" t="s">
        <v>149</v>
      </c>
      <c r="G69" s="6">
        <v>7</v>
      </c>
      <c r="H69" s="6">
        <v>1</v>
      </c>
      <c r="I69" s="6">
        <v>1</v>
      </c>
      <c r="J69" s="5">
        <f t="shared" si="8"/>
        <v>3</v>
      </c>
      <c r="K69" s="5">
        <f t="shared" si="9"/>
        <v>3</v>
      </c>
      <c r="L69" s="7">
        <f t="shared" si="10"/>
        <v>3</v>
      </c>
      <c r="M69" s="7">
        <f t="shared" si="11"/>
        <v>0</v>
      </c>
      <c r="N69" s="7">
        <f t="shared" si="12"/>
        <v>6</v>
      </c>
      <c r="O69" s="7">
        <f t="shared" si="13"/>
        <v>0</v>
      </c>
      <c r="P69" s="7">
        <f t="shared" si="14"/>
        <v>3</v>
      </c>
      <c r="Q69" s="5">
        <f t="shared" si="15"/>
        <v>0</v>
      </c>
      <c r="R69" s="7">
        <f>IF(OR(L69="",Baseline!$C$8=""),"",ABS(L69-Baseline!$C$8))</f>
        <v>5.6666666666666661</v>
      </c>
    </row>
    <row r="70" spans="1:18" x14ac:dyDescent="0.3">
      <c r="A70" s="5">
        <v>9</v>
      </c>
      <c r="B70" s="5" t="s">
        <v>42</v>
      </c>
      <c r="C70" s="5" t="s">
        <v>37</v>
      </c>
      <c r="D70" s="5" t="s">
        <v>38</v>
      </c>
      <c r="E70" s="5" t="s">
        <v>39</v>
      </c>
      <c r="F70" s="6" t="s">
        <v>150</v>
      </c>
      <c r="G70" s="6">
        <v>13</v>
      </c>
      <c r="H70" s="6">
        <v>8</v>
      </c>
      <c r="I70" s="6">
        <v>1</v>
      </c>
      <c r="J70" s="5">
        <f t="shared" si="8"/>
        <v>3</v>
      </c>
      <c r="K70" s="5">
        <f t="shared" si="9"/>
        <v>3</v>
      </c>
      <c r="L70" s="7">
        <f t="shared" si="10"/>
        <v>7.333333333333333</v>
      </c>
      <c r="M70" s="7">
        <f t="shared" si="11"/>
        <v>0</v>
      </c>
      <c r="N70" s="7">
        <f t="shared" si="12"/>
        <v>5</v>
      </c>
      <c r="O70" s="7">
        <f t="shared" si="13"/>
        <v>7</v>
      </c>
      <c r="P70" s="7">
        <f t="shared" si="14"/>
        <v>6</v>
      </c>
      <c r="Q70" s="5">
        <f t="shared" si="15"/>
        <v>0</v>
      </c>
      <c r="R70" s="7">
        <f>IF(OR(L70="",Baseline!$C$8=""),"",ABS(L70-Baseline!$C$8))</f>
        <v>1.333333333333333</v>
      </c>
    </row>
    <row r="71" spans="1:18" x14ac:dyDescent="0.3">
      <c r="A71" s="5">
        <v>10</v>
      </c>
      <c r="B71" s="5" t="s">
        <v>42</v>
      </c>
      <c r="C71" s="5" t="s">
        <v>37</v>
      </c>
      <c r="D71" s="5" t="s">
        <v>38</v>
      </c>
      <c r="E71" s="5" t="s">
        <v>39</v>
      </c>
      <c r="F71" s="6" t="s">
        <v>151</v>
      </c>
      <c r="G71" s="6">
        <v>21</v>
      </c>
      <c r="H71" s="6">
        <v>13</v>
      </c>
      <c r="I71" s="6">
        <v>21</v>
      </c>
      <c r="J71" s="5">
        <f t="shared" si="8"/>
        <v>3</v>
      </c>
      <c r="K71" s="5">
        <f t="shared" si="9"/>
        <v>3</v>
      </c>
      <c r="L71" s="7">
        <f t="shared" si="10"/>
        <v>18.333333333333332</v>
      </c>
      <c r="M71" s="7">
        <f t="shared" si="11"/>
        <v>0</v>
      </c>
      <c r="N71" s="7">
        <f t="shared" si="12"/>
        <v>8</v>
      </c>
      <c r="O71" s="7">
        <f t="shared" si="13"/>
        <v>8</v>
      </c>
      <c r="P71" s="7">
        <f t="shared" si="14"/>
        <v>8</v>
      </c>
      <c r="Q71" s="5">
        <f t="shared" si="15"/>
        <v>0</v>
      </c>
      <c r="R71" s="7">
        <f>IF(OR(L71="",Baseline!$C$8=""),"",ABS(L71-Baseline!$C$8))</f>
        <v>9.6666666666666661</v>
      </c>
    </row>
    <row r="72" spans="1:18" x14ac:dyDescent="0.3">
      <c r="A72" s="5">
        <v>11</v>
      </c>
      <c r="B72" s="5" t="s">
        <v>42</v>
      </c>
      <c r="C72" s="5" t="s">
        <v>37</v>
      </c>
      <c r="D72" s="5" t="s">
        <v>38</v>
      </c>
      <c r="E72" s="5" t="s">
        <v>39</v>
      </c>
      <c r="F72" s="6" t="s">
        <v>152</v>
      </c>
      <c r="G72" s="6">
        <v>23</v>
      </c>
      <c r="H72" s="6">
        <v>11</v>
      </c>
      <c r="I72" s="6">
        <v>8</v>
      </c>
      <c r="J72" s="5">
        <f t="shared" si="8"/>
        <v>3</v>
      </c>
      <c r="K72" s="5">
        <f t="shared" si="9"/>
        <v>3</v>
      </c>
      <c r="L72" s="7">
        <f t="shared" si="10"/>
        <v>14</v>
      </c>
      <c r="M72" s="7">
        <f t="shared" si="11"/>
        <v>0</v>
      </c>
      <c r="N72" s="7">
        <f t="shared" si="12"/>
        <v>12</v>
      </c>
      <c r="O72" s="7">
        <f t="shared" si="13"/>
        <v>3</v>
      </c>
      <c r="P72" s="7">
        <f t="shared" si="14"/>
        <v>7.5</v>
      </c>
      <c r="Q72" s="5">
        <f t="shared" si="15"/>
        <v>0</v>
      </c>
      <c r="R72" s="7">
        <f>IF(OR(L72="",Baseline!$C$8=""),"",ABS(L72-Baseline!$C$8))</f>
        <v>5.3333333333333339</v>
      </c>
    </row>
    <row r="73" spans="1:18" x14ac:dyDescent="0.3">
      <c r="A73" s="5">
        <v>12</v>
      </c>
      <c r="B73" s="5" t="s">
        <v>42</v>
      </c>
      <c r="C73" s="5" t="s">
        <v>37</v>
      </c>
      <c r="D73" s="5" t="s">
        <v>38</v>
      </c>
      <c r="E73" s="5" t="s">
        <v>39</v>
      </c>
      <c r="F73" s="6" t="s">
        <v>153</v>
      </c>
      <c r="G73" s="6">
        <v>12</v>
      </c>
      <c r="H73" s="6">
        <v>12</v>
      </c>
      <c r="I73" s="6">
        <v>23</v>
      </c>
      <c r="J73" s="5">
        <f t="shared" si="8"/>
        <v>3</v>
      </c>
      <c r="K73" s="5">
        <f t="shared" si="9"/>
        <v>3</v>
      </c>
      <c r="L73" s="7">
        <f t="shared" si="10"/>
        <v>15.666666666666666</v>
      </c>
      <c r="M73" s="7">
        <f t="shared" si="11"/>
        <v>0</v>
      </c>
      <c r="N73" s="7">
        <f t="shared" si="12"/>
        <v>0</v>
      </c>
      <c r="O73" s="7">
        <f t="shared" si="13"/>
        <v>11</v>
      </c>
      <c r="P73" s="7">
        <f t="shared" si="14"/>
        <v>5.5</v>
      </c>
      <c r="Q73" s="5">
        <f t="shared" si="15"/>
        <v>0</v>
      </c>
      <c r="R73" s="7">
        <f>IF(OR(L73="",Baseline!$C$8=""),"",ABS(L73-Baseline!$C$8))</f>
        <v>7</v>
      </c>
    </row>
    <row r="74" spans="1:18" x14ac:dyDescent="0.3">
      <c r="A74" s="5">
        <v>13</v>
      </c>
      <c r="B74" s="5" t="s">
        <v>42</v>
      </c>
      <c r="C74" s="5" t="s">
        <v>37</v>
      </c>
      <c r="D74" s="5" t="s">
        <v>38</v>
      </c>
      <c r="E74" s="5" t="s">
        <v>39</v>
      </c>
      <c r="F74" s="6" t="s">
        <v>154</v>
      </c>
      <c r="G74" s="6">
        <v>16</v>
      </c>
      <c r="H74" s="6">
        <v>10</v>
      </c>
      <c r="I74" s="6">
        <v>1</v>
      </c>
      <c r="J74" s="5">
        <f t="shared" si="8"/>
        <v>3</v>
      </c>
      <c r="K74" s="5">
        <f t="shared" si="9"/>
        <v>3</v>
      </c>
      <c r="L74" s="7">
        <f t="shared" si="10"/>
        <v>9</v>
      </c>
      <c r="M74" s="7">
        <f t="shared" si="11"/>
        <v>0</v>
      </c>
      <c r="N74" s="7">
        <f t="shared" si="12"/>
        <v>6</v>
      </c>
      <c r="O74" s="7">
        <f t="shared" si="13"/>
        <v>9</v>
      </c>
      <c r="P74" s="7">
        <f t="shared" si="14"/>
        <v>7.5</v>
      </c>
      <c r="Q74" s="5">
        <f t="shared" si="15"/>
        <v>0</v>
      </c>
      <c r="R74" s="7">
        <f>IF(OR(L74="",Baseline!$C$8=""),"",ABS(L74-Baseline!$C$8))</f>
        <v>0.33333333333333393</v>
      </c>
    </row>
    <row r="75" spans="1:18" x14ac:dyDescent="0.3">
      <c r="A75" s="5">
        <v>14</v>
      </c>
      <c r="B75" s="5" t="s">
        <v>42</v>
      </c>
      <c r="C75" s="5" t="s">
        <v>37</v>
      </c>
      <c r="D75" s="5" t="s">
        <v>38</v>
      </c>
      <c r="E75" s="5" t="s">
        <v>39</v>
      </c>
      <c r="F75" s="6" t="s">
        <v>155</v>
      </c>
      <c r="G75" s="6">
        <v>18</v>
      </c>
      <c r="H75" s="6">
        <v>2</v>
      </c>
      <c r="I75" s="6">
        <v>12</v>
      </c>
      <c r="J75" s="5">
        <f t="shared" si="8"/>
        <v>3</v>
      </c>
      <c r="K75" s="5">
        <f t="shared" si="9"/>
        <v>3</v>
      </c>
      <c r="L75" s="7">
        <f t="shared" si="10"/>
        <v>10.666666666666666</v>
      </c>
      <c r="M75" s="7">
        <f t="shared" si="11"/>
        <v>0</v>
      </c>
      <c r="N75" s="7">
        <f t="shared" si="12"/>
        <v>16</v>
      </c>
      <c r="O75" s="7">
        <f t="shared" si="13"/>
        <v>10</v>
      </c>
      <c r="P75" s="7">
        <f t="shared" si="14"/>
        <v>13</v>
      </c>
      <c r="Q75" s="5">
        <f t="shared" si="15"/>
        <v>0</v>
      </c>
      <c r="R75" s="7">
        <f>IF(OR(L75="",Baseline!$C$8=""),"",ABS(L75-Baseline!$C$8))</f>
        <v>2</v>
      </c>
    </row>
    <row r="76" spans="1:18" x14ac:dyDescent="0.3">
      <c r="A76" s="5">
        <v>15</v>
      </c>
      <c r="B76" s="5" t="s">
        <v>42</v>
      </c>
      <c r="C76" s="5" t="s">
        <v>37</v>
      </c>
      <c r="D76" s="5" t="s">
        <v>38</v>
      </c>
      <c r="E76" s="5" t="s">
        <v>39</v>
      </c>
      <c r="F76" s="6" t="s">
        <v>156</v>
      </c>
      <c r="G76" s="6">
        <v>20</v>
      </c>
      <c r="H76" s="6">
        <v>1</v>
      </c>
      <c r="I76" s="6">
        <v>1</v>
      </c>
      <c r="J76" s="5">
        <f t="shared" si="8"/>
        <v>3</v>
      </c>
      <c r="K76" s="5">
        <f t="shared" si="9"/>
        <v>3</v>
      </c>
      <c r="L76" s="7">
        <f t="shared" si="10"/>
        <v>7.333333333333333</v>
      </c>
      <c r="M76" s="7">
        <f t="shared" si="11"/>
        <v>0</v>
      </c>
      <c r="N76" s="7">
        <f t="shared" si="12"/>
        <v>19</v>
      </c>
      <c r="O76" s="7">
        <f t="shared" si="13"/>
        <v>0</v>
      </c>
      <c r="P76" s="7">
        <f t="shared" si="14"/>
        <v>9.5</v>
      </c>
      <c r="Q76" s="5">
        <f t="shared" si="15"/>
        <v>0</v>
      </c>
      <c r="R76" s="7">
        <f>IF(OR(L76="",Baseline!$C$8=""),"",ABS(L76-Baseline!$C$8))</f>
        <v>1.333333333333333</v>
      </c>
    </row>
    <row r="77" spans="1:18" x14ac:dyDescent="0.3">
      <c r="A77" s="5">
        <v>16</v>
      </c>
      <c r="B77" s="5" t="s">
        <v>42</v>
      </c>
      <c r="C77" s="5" t="s">
        <v>37</v>
      </c>
      <c r="D77" s="5" t="s">
        <v>38</v>
      </c>
      <c r="E77" s="5" t="s">
        <v>39</v>
      </c>
      <c r="F77" s="6" t="s">
        <v>157</v>
      </c>
      <c r="G77" s="6">
        <v>2</v>
      </c>
      <c r="H77" s="6">
        <v>12</v>
      </c>
      <c r="I77" s="6">
        <v>12</v>
      </c>
      <c r="J77" s="5">
        <f t="shared" si="8"/>
        <v>3</v>
      </c>
      <c r="K77" s="5">
        <f t="shared" si="9"/>
        <v>3</v>
      </c>
      <c r="L77" s="7">
        <f t="shared" si="10"/>
        <v>8.6666666666666661</v>
      </c>
      <c r="M77" s="7">
        <f t="shared" si="11"/>
        <v>0</v>
      </c>
      <c r="N77" s="7">
        <f t="shared" si="12"/>
        <v>10</v>
      </c>
      <c r="O77" s="7">
        <f t="shared" si="13"/>
        <v>0</v>
      </c>
      <c r="P77" s="7">
        <f t="shared" si="14"/>
        <v>5</v>
      </c>
      <c r="Q77" s="5">
        <f t="shared" si="15"/>
        <v>0</v>
      </c>
      <c r="R77" s="7">
        <f>IF(OR(L77="",Baseline!$C$8=""),"",ABS(L77-Baseline!$C$8))</f>
        <v>0</v>
      </c>
    </row>
    <row r="78" spans="1:18" x14ac:dyDescent="0.3">
      <c r="A78" s="5">
        <v>17</v>
      </c>
      <c r="B78" s="5" t="s">
        <v>42</v>
      </c>
      <c r="C78" s="5" t="s">
        <v>37</v>
      </c>
      <c r="D78" s="5" t="s">
        <v>38</v>
      </c>
      <c r="E78" s="5" t="s">
        <v>39</v>
      </c>
      <c r="F78" s="6" t="s">
        <v>158</v>
      </c>
      <c r="G78" s="6">
        <v>2</v>
      </c>
      <c r="H78" s="6">
        <v>3</v>
      </c>
      <c r="I78" s="6">
        <v>1</v>
      </c>
      <c r="J78" s="5">
        <f t="shared" si="8"/>
        <v>3</v>
      </c>
      <c r="K78" s="5">
        <f t="shared" si="9"/>
        <v>3</v>
      </c>
      <c r="L78" s="7">
        <f t="shared" si="10"/>
        <v>2</v>
      </c>
      <c r="M78" s="7">
        <f t="shared" si="11"/>
        <v>0</v>
      </c>
      <c r="N78" s="7">
        <f t="shared" si="12"/>
        <v>1</v>
      </c>
      <c r="O78" s="7">
        <f t="shared" si="13"/>
        <v>2</v>
      </c>
      <c r="P78" s="7">
        <f t="shared" si="14"/>
        <v>1.5</v>
      </c>
      <c r="Q78" s="5">
        <f t="shared" si="15"/>
        <v>0</v>
      </c>
      <c r="R78" s="7">
        <f>IF(OR(L78="",Baseline!$C$8=""),"",ABS(L78-Baseline!$C$8))</f>
        <v>6.6666666666666661</v>
      </c>
    </row>
    <row r="79" spans="1:18" x14ac:dyDescent="0.3">
      <c r="A79" s="5">
        <v>18</v>
      </c>
      <c r="B79" s="5" t="s">
        <v>42</v>
      </c>
      <c r="C79" s="5" t="s">
        <v>37</v>
      </c>
      <c r="D79" s="5" t="s">
        <v>38</v>
      </c>
      <c r="E79" s="5" t="s">
        <v>39</v>
      </c>
      <c r="F79" s="6" t="s">
        <v>159</v>
      </c>
      <c r="G79" s="6">
        <v>23</v>
      </c>
      <c r="H79" s="6">
        <v>1</v>
      </c>
      <c r="I79" s="6">
        <v>2</v>
      </c>
      <c r="J79" s="5">
        <f t="shared" si="8"/>
        <v>3</v>
      </c>
      <c r="K79" s="5">
        <f t="shared" si="9"/>
        <v>3</v>
      </c>
      <c r="L79" s="7">
        <f t="shared" si="10"/>
        <v>8.6666666666666661</v>
      </c>
      <c r="M79" s="7">
        <f t="shared" si="11"/>
        <v>0</v>
      </c>
      <c r="N79" s="7">
        <f t="shared" si="12"/>
        <v>22</v>
      </c>
      <c r="O79" s="7">
        <f t="shared" si="13"/>
        <v>1</v>
      </c>
      <c r="P79" s="7">
        <f t="shared" si="14"/>
        <v>11.5</v>
      </c>
      <c r="Q79" s="5">
        <f t="shared" si="15"/>
        <v>0</v>
      </c>
      <c r="R79" s="7">
        <f>IF(OR(L79="",Baseline!$C$8=""),"",ABS(L79-Baseline!$C$8))</f>
        <v>0</v>
      </c>
    </row>
    <row r="80" spans="1:18" x14ac:dyDescent="0.3">
      <c r="A80" s="5">
        <v>19</v>
      </c>
      <c r="B80" s="5" t="s">
        <v>42</v>
      </c>
      <c r="C80" s="5" t="s">
        <v>37</v>
      </c>
      <c r="D80" s="5" t="s">
        <v>38</v>
      </c>
      <c r="E80" s="5" t="s">
        <v>39</v>
      </c>
      <c r="F80" s="6" t="s">
        <v>160</v>
      </c>
      <c r="G80" s="6">
        <v>23</v>
      </c>
      <c r="H80" s="6">
        <v>1</v>
      </c>
      <c r="I80" s="6">
        <v>2</v>
      </c>
      <c r="J80" s="5">
        <f t="shared" si="8"/>
        <v>3</v>
      </c>
      <c r="K80" s="5">
        <f t="shared" si="9"/>
        <v>3</v>
      </c>
      <c r="L80" s="7">
        <f t="shared" si="10"/>
        <v>8.6666666666666661</v>
      </c>
      <c r="M80" s="7">
        <f t="shared" si="11"/>
        <v>0</v>
      </c>
      <c r="N80" s="7">
        <f t="shared" si="12"/>
        <v>22</v>
      </c>
      <c r="O80" s="7">
        <f t="shared" si="13"/>
        <v>1</v>
      </c>
      <c r="P80" s="7">
        <f t="shared" si="14"/>
        <v>11.5</v>
      </c>
      <c r="Q80" s="5">
        <f t="shared" si="15"/>
        <v>0</v>
      </c>
      <c r="R80" s="7">
        <f>IF(OR(L80="",Baseline!$C$8=""),"",ABS(L80-Baseline!$C$8))</f>
        <v>0</v>
      </c>
    </row>
    <row r="81" spans="1:18" x14ac:dyDescent="0.3">
      <c r="A81" s="5">
        <v>20</v>
      </c>
      <c r="B81" s="5" t="s">
        <v>42</v>
      </c>
      <c r="C81" s="5" t="s">
        <v>37</v>
      </c>
      <c r="D81" s="5" t="s">
        <v>38</v>
      </c>
      <c r="E81" s="5" t="s">
        <v>39</v>
      </c>
      <c r="F81" s="6" t="s">
        <v>161</v>
      </c>
      <c r="G81" s="6">
        <v>19</v>
      </c>
      <c r="H81" s="6">
        <v>1</v>
      </c>
      <c r="I81" s="6">
        <v>13</v>
      </c>
      <c r="J81" s="5">
        <f t="shared" si="8"/>
        <v>3</v>
      </c>
      <c r="K81" s="5">
        <f t="shared" si="9"/>
        <v>3</v>
      </c>
      <c r="L81" s="7">
        <f t="shared" si="10"/>
        <v>11</v>
      </c>
      <c r="M81" s="7">
        <f t="shared" si="11"/>
        <v>0</v>
      </c>
      <c r="N81" s="7">
        <f t="shared" si="12"/>
        <v>18</v>
      </c>
      <c r="O81" s="7">
        <f t="shared" si="13"/>
        <v>12</v>
      </c>
      <c r="P81" s="7">
        <f t="shared" si="14"/>
        <v>15</v>
      </c>
      <c r="Q81" s="5">
        <f t="shared" si="15"/>
        <v>0</v>
      </c>
      <c r="R81" s="7">
        <f>IF(OR(L81="",Baseline!$C$8=""),"",ABS(L81-Baseline!$C$8))</f>
        <v>2.3333333333333339</v>
      </c>
    </row>
    <row r="82" spans="1:18" x14ac:dyDescent="0.3">
      <c r="A82" s="5">
        <v>1</v>
      </c>
      <c r="B82" s="5" t="s">
        <v>43</v>
      </c>
      <c r="C82" s="5" t="s">
        <v>37</v>
      </c>
      <c r="D82" s="5" t="s">
        <v>38</v>
      </c>
      <c r="E82" s="5" t="s">
        <v>39</v>
      </c>
      <c r="F82" s="6" t="s">
        <v>162</v>
      </c>
      <c r="G82" s="6">
        <v>10</v>
      </c>
      <c r="H82" s="6">
        <v>12</v>
      </c>
      <c r="I82" s="6">
        <v>1</v>
      </c>
      <c r="J82" s="5">
        <f t="shared" si="8"/>
        <v>3</v>
      </c>
      <c r="K82" s="5">
        <f t="shared" si="9"/>
        <v>3</v>
      </c>
      <c r="L82" s="7">
        <f t="shared" si="10"/>
        <v>7.666666666666667</v>
      </c>
      <c r="M82" s="7">
        <f t="shared" si="11"/>
        <v>0</v>
      </c>
      <c r="N82" s="7">
        <f t="shared" si="12"/>
        <v>2</v>
      </c>
      <c r="O82" s="7">
        <f t="shared" si="13"/>
        <v>11</v>
      </c>
      <c r="P82" s="7">
        <f t="shared" si="14"/>
        <v>6.5</v>
      </c>
      <c r="Q82" s="5">
        <f t="shared" si="15"/>
        <v>0</v>
      </c>
      <c r="R82" s="7">
        <f>IF(OR(L82="",Baseline!$C$9=""),"",ABS(L82-Baseline!$C$9))</f>
        <v>0.16666666666666696</v>
      </c>
    </row>
    <row r="83" spans="1:18" x14ac:dyDescent="0.3">
      <c r="A83" s="5">
        <v>2</v>
      </c>
      <c r="B83" s="5" t="s">
        <v>43</v>
      </c>
      <c r="C83" s="5" t="s">
        <v>37</v>
      </c>
      <c r="D83" s="5" t="s">
        <v>38</v>
      </c>
      <c r="E83" s="5" t="s">
        <v>39</v>
      </c>
      <c r="F83" s="6" t="s">
        <v>163</v>
      </c>
      <c r="G83" s="6">
        <v>6</v>
      </c>
      <c r="H83" s="6">
        <v>1</v>
      </c>
      <c r="I83" s="6">
        <v>1</v>
      </c>
      <c r="J83" s="5">
        <f t="shared" si="8"/>
        <v>3</v>
      </c>
      <c r="K83" s="5">
        <f t="shared" si="9"/>
        <v>3</v>
      </c>
      <c r="L83" s="7">
        <f t="shared" si="10"/>
        <v>2.6666666666666665</v>
      </c>
      <c r="M83" s="7">
        <f t="shared" si="11"/>
        <v>0</v>
      </c>
      <c r="N83" s="7">
        <f t="shared" si="12"/>
        <v>5</v>
      </c>
      <c r="O83" s="7">
        <f t="shared" si="13"/>
        <v>0</v>
      </c>
      <c r="P83" s="7">
        <f t="shared" si="14"/>
        <v>2.5</v>
      </c>
      <c r="Q83" s="5">
        <f t="shared" si="15"/>
        <v>0</v>
      </c>
      <c r="R83" s="7">
        <f>IF(OR(L83="",Baseline!$C$9=""),"",ABS(L83-Baseline!$C$9))</f>
        <v>4.8333333333333339</v>
      </c>
    </row>
    <row r="84" spans="1:18" x14ac:dyDescent="0.3">
      <c r="A84" s="5">
        <v>3</v>
      </c>
      <c r="B84" s="5" t="s">
        <v>43</v>
      </c>
      <c r="C84" s="5" t="s">
        <v>37</v>
      </c>
      <c r="D84" s="5" t="s">
        <v>38</v>
      </c>
      <c r="E84" s="5" t="s">
        <v>39</v>
      </c>
      <c r="F84" s="6" t="s">
        <v>164</v>
      </c>
      <c r="G84" s="6">
        <v>1</v>
      </c>
      <c r="H84" s="6">
        <v>1</v>
      </c>
      <c r="I84" s="6">
        <v>2</v>
      </c>
      <c r="J84" s="5">
        <f t="shared" si="8"/>
        <v>3</v>
      </c>
      <c r="K84" s="5">
        <f t="shared" si="9"/>
        <v>3</v>
      </c>
      <c r="L84" s="7">
        <f t="shared" si="10"/>
        <v>1.3333333333333333</v>
      </c>
      <c r="M84" s="7">
        <f t="shared" si="11"/>
        <v>0</v>
      </c>
      <c r="N84" s="7">
        <f t="shared" si="12"/>
        <v>0</v>
      </c>
      <c r="O84" s="7">
        <f t="shared" si="13"/>
        <v>1</v>
      </c>
      <c r="P84" s="7">
        <f t="shared" si="14"/>
        <v>0.5</v>
      </c>
      <c r="Q84" s="5">
        <f t="shared" si="15"/>
        <v>0</v>
      </c>
      <c r="R84" s="7">
        <f>IF(OR(L84="",Baseline!$C$9=""),"",ABS(L84-Baseline!$C$9))</f>
        <v>6.166666666666667</v>
      </c>
    </row>
    <row r="85" spans="1:18" x14ac:dyDescent="0.3">
      <c r="A85" s="5">
        <v>4</v>
      </c>
      <c r="B85" s="5" t="s">
        <v>43</v>
      </c>
      <c r="C85" s="5" t="s">
        <v>37</v>
      </c>
      <c r="D85" s="5" t="s">
        <v>38</v>
      </c>
      <c r="E85" s="5" t="s">
        <v>39</v>
      </c>
      <c r="F85" s="6" t="s">
        <v>165</v>
      </c>
      <c r="G85" s="6">
        <v>12</v>
      </c>
      <c r="H85" s="6">
        <v>2</v>
      </c>
      <c r="I85" s="6">
        <v>1</v>
      </c>
      <c r="J85" s="5">
        <f t="shared" si="8"/>
        <v>3</v>
      </c>
      <c r="K85" s="5">
        <f t="shared" si="9"/>
        <v>3</v>
      </c>
      <c r="L85" s="7">
        <f t="shared" si="10"/>
        <v>5</v>
      </c>
      <c r="M85" s="7">
        <f t="shared" si="11"/>
        <v>0</v>
      </c>
      <c r="N85" s="7">
        <f t="shared" si="12"/>
        <v>10</v>
      </c>
      <c r="O85" s="7">
        <f t="shared" si="13"/>
        <v>1</v>
      </c>
      <c r="P85" s="7">
        <f t="shared" si="14"/>
        <v>5.5</v>
      </c>
      <c r="Q85" s="5">
        <f t="shared" si="15"/>
        <v>0</v>
      </c>
      <c r="R85" s="7">
        <f>IF(OR(L85="",Baseline!$C$9=""),"",ABS(L85-Baseline!$C$9))</f>
        <v>2.5</v>
      </c>
    </row>
    <row r="86" spans="1:18" x14ac:dyDescent="0.3">
      <c r="A86" s="5">
        <v>5</v>
      </c>
      <c r="B86" s="5" t="s">
        <v>43</v>
      </c>
      <c r="C86" s="5" t="s">
        <v>37</v>
      </c>
      <c r="D86" s="5" t="s">
        <v>38</v>
      </c>
      <c r="E86" s="5" t="s">
        <v>39</v>
      </c>
      <c r="F86" s="6" t="s">
        <v>166</v>
      </c>
      <c r="G86" s="6">
        <v>20</v>
      </c>
      <c r="H86" s="6">
        <v>13</v>
      </c>
      <c r="I86" s="6">
        <v>1</v>
      </c>
      <c r="J86" s="5">
        <f t="shared" si="8"/>
        <v>3</v>
      </c>
      <c r="K86" s="5">
        <f t="shared" si="9"/>
        <v>3</v>
      </c>
      <c r="L86" s="7">
        <f t="shared" si="10"/>
        <v>11.333333333333334</v>
      </c>
      <c r="M86" s="7">
        <f t="shared" si="11"/>
        <v>0</v>
      </c>
      <c r="N86" s="7">
        <f t="shared" si="12"/>
        <v>7</v>
      </c>
      <c r="O86" s="7">
        <f t="shared" si="13"/>
        <v>12</v>
      </c>
      <c r="P86" s="7">
        <f t="shared" si="14"/>
        <v>9.5</v>
      </c>
      <c r="Q86" s="5">
        <f t="shared" si="15"/>
        <v>0</v>
      </c>
      <c r="R86" s="7">
        <f>IF(OR(L86="",Baseline!$C$9=""),"",ABS(L86-Baseline!$C$9))</f>
        <v>3.8333333333333339</v>
      </c>
    </row>
    <row r="87" spans="1:18" x14ac:dyDescent="0.3">
      <c r="A87" s="5">
        <v>6</v>
      </c>
      <c r="B87" s="5" t="s">
        <v>43</v>
      </c>
      <c r="C87" s="5" t="s">
        <v>37</v>
      </c>
      <c r="D87" s="5" t="s">
        <v>38</v>
      </c>
      <c r="E87" s="5" t="s">
        <v>39</v>
      </c>
      <c r="F87" s="6" t="s">
        <v>167</v>
      </c>
      <c r="G87" s="6">
        <v>22</v>
      </c>
      <c r="H87" s="6">
        <v>33</v>
      </c>
      <c r="I87" s="6">
        <v>1</v>
      </c>
      <c r="J87" s="5">
        <f t="shared" si="8"/>
        <v>3</v>
      </c>
      <c r="K87" s="5">
        <f t="shared" si="9"/>
        <v>3</v>
      </c>
      <c r="L87" s="7">
        <f t="shared" si="10"/>
        <v>18.666666666666668</v>
      </c>
      <c r="M87" s="7">
        <f t="shared" si="11"/>
        <v>0</v>
      </c>
      <c r="N87" s="7">
        <f t="shared" si="12"/>
        <v>11</v>
      </c>
      <c r="O87" s="7">
        <f t="shared" si="13"/>
        <v>32</v>
      </c>
      <c r="P87" s="7">
        <f t="shared" si="14"/>
        <v>21.5</v>
      </c>
      <c r="Q87" s="5">
        <f t="shared" si="15"/>
        <v>0</v>
      </c>
      <c r="R87" s="7">
        <f>IF(OR(L87="",Baseline!$C$9=""),"",ABS(L87-Baseline!$C$9))</f>
        <v>11.166666666666668</v>
      </c>
    </row>
    <row r="88" spans="1:18" x14ac:dyDescent="0.3">
      <c r="A88" s="5">
        <v>7</v>
      </c>
      <c r="B88" s="5" t="s">
        <v>43</v>
      </c>
      <c r="C88" s="5" t="s">
        <v>37</v>
      </c>
      <c r="D88" s="5" t="s">
        <v>38</v>
      </c>
      <c r="E88" s="5" t="s">
        <v>39</v>
      </c>
      <c r="F88" s="6" t="s">
        <v>168</v>
      </c>
      <c r="G88" s="6">
        <v>19</v>
      </c>
      <c r="H88" s="6">
        <v>12</v>
      </c>
      <c r="I88" s="6">
        <v>1</v>
      </c>
      <c r="J88" s="5">
        <f t="shared" si="8"/>
        <v>3</v>
      </c>
      <c r="K88" s="5">
        <f t="shared" si="9"/>
        <v>3</v>
      </c>
      <c r="L88" s="7">
        <f t="shared" si="10"/>
        <v>10.666666666666666</v>
      </c>
      <c r="M88" s="7">
        <f t="shared" si="11"/>
        <v>0</v>
      </c>
      <c r="N88" s="7">
        <f t="shared" si="12"/>
        <v>7</v>
      </c>
      <c r="O88" s="7">
        <f t="shared" si="13"/>
        <v>11</v>
      </c>
      <c r="P88" s="7">
        <f t="shared" si="14"/>
        <v>9</v>
      </c>
      <c r="Q88" s="5">
        <f t="shared" si="15"/>
        <v>0</v>
      </c>
      <c r="R88" s="7">
        <f>IF(OR(L88="",Baseline!$C$9=""),"",ABS(L88-Baseline!$C$9))</f>
        <v>3.1666666666666661</v>
      </c>
    </row>
    <row r="89" spans="1:18" x14ac:dyDescent="0.3">
      <c r="A89" s="5">
        <v>8</v>
      </c>
      <c r="B89" s="5" t="s">
        <v>43</v>
      </c>
      <c r="C89" s="5" t="s">
        <v>37</v>
      </c>
      <c r="D89" s="5" t="s">
        <v>38</v>
      </c>
      <c r="E89" s="5" t="s">
        <v>39</v>
      </c>
      <c r="F89" s="6" t="s">
        <v>169</v>
      </c>
      <c r="G89" s="6">
        <v>1</v>
      </c>
      <c r="H89" s="6">
        <v>12</v>
      </c>
      <c r="I89" s="6">
        <v>1</v>
      </c>
      <c r="J89" s="5">
        <f t="shared" si="8"/>
        <v>3</v>
      </c>
      <c r="K89" s="5">
        <f t="shared" si="9"/>
        <v>3</v>
      </c>
      <c r="L89" s="7">
        <f t="shared" si="10"/>
        <v>4.666666666666667</v>
      </c>
      <c r="M89" s="7">
        <f t="shared" si="11"/>
        <v>0</v>
      </c>
      <c r="N89" s="7">
        <f t="shared" si="12"/>
        <v>11</v>
      </c>
      <c r="O89" s="7">
        <f t="shared" si="13"/>
        <v>11</v>
      </c>
      <c r="P89" s="7">
        <f t="shared" si="14"/>
        <v>11</v>
      </c>
      <c r="Q89" s="5">
        <f t="shared" si="15"/>
        <v>0</v>
      </c>
      <c r="R89" s="7">
        <f>IF(OR(L89="",Baseline!$C$9=""),"",ABS(L89-Baseline!$C$9))</f>
        <v>2.833333333333333</v>
      </c>
    </row>
    <row r="90" spans="1:18" x14ac:dyDescent="0.3">
      <c r="A90" s="5">
        <v>9</v>
      </c>
      <c r="B90" s="5" t="s">
        <v>43</v>
      </c>
      <c r="C90" s="5" t="s">
        <v>37</v>
      </c>
      <c r="D90" s="5" t="s">
        <v>38</v>
      </c>
      <c r="E90" s="5" t="s">
        <v>39</v>
      </c>
      <c r="F90" s="6" t="s">
        <v>170</v>
      </c>
      <c r="G90" s="6" t="s">
        <v>102</v>
      </c>
      <c r="H90" s="6">
        <v>19</v>
      </c>
      <c r="I90" s="6">
        <v>18</v>
      </c>
      <c r="J90" s="5">
        <f t="shared" si="8"/>
        <v>3</v>
      </c>
      <c r="K90" s="5">
        <f t="shared" si="9"/>
        <v>2</v>
      </c>
      <c r="L90" s="7">
        <f t="shared" si="10"/>
        <v>18.5</v>
      </c>
      <c r="M90" s="7">
        <f t="shared" si="11"/>
        <v>33.333333333333329</v>
      </c>
      <c r="N90" s="7" t="str">
        <f t="shared" si="12"/>
        <v/>
      </c>
      <c r="O90" s="7">
        <f t="shared" si="13"/>
        <v>1</v>
      </c>
      <c r="P90" s="7">
        <f t="shared" si="14"/>
        <v>1</v>
      </c>
      <c r="Q90" s="5">
        <f t="shared" si="15"/>
        <v>0</v>
      </c>
      <c r="R90" s="7">
        <f>IF(OR(L90="",Baseline!$C$9=""),"",ABS(L90-Baseline!$C$9))</f>
        <v>11</v>
      </c>
    </row>
    <row r="91" spans="1:18" x14ac:dyDescent="0.3">
      <c r="A91" s="5">
        <v>10</v>
      </c>
      <c r="B91" s="5" t="s">
        <v>43</v>
      </c>
      <c r="C91" s="5" t="s">
        <v>37</v>
      </c>
      <c r="D91" s="5" t="s">
        <v>38</v>
      </c>
      <c r="E91" s="5" t="s">
        <v>39</v>
      </c>
      <c r="F91" s="6" t="s">
        <v>171</v>
      </c>
      <c r="G91" s="6">
        <v>1</v>
      </c>
      <c r="H91" s="6">
        <v>2</v>
      </c>
      <c r="I91" s="6">
        <v>2</v>
      </c>
      <c r="J91" s="5">
        <f t="shared" si="8"/>
        <v>3</v>
      </c>
      <c r="K91" s="5">
        <f t="shared" si="9"/>
        <v>3</v>
      </c>
      <c r="L91" s="7">
        <f t="shared" si="10"/>
        <v>1.6666666666666667</v>
      </c>
      <c r="M91" s="7">
        <f t="shared" si="11"/>
        <v>0</v>
      </c>
      <c r="N91" s="7">
        <f t="shared" si="12"/>
        <v>1</v>
      </c>
      <c r="O91" s="7">
        <f t="shared" si="13"/>
        <v>0</v>
      </c>
      <c r="P91" s="7">
        <f t="shared" si="14"/>
        <v>0.5</v>
      </c>
      <c r="Q91" s="5">
        <f t="shared" si="15"/>
        <v>0</v>
      </c>
      <c r="R91" s="7">
        <f>IF(OR(L91="",Baseline!$C$9=""),"",ABS(L91-Baseline!$C$9))</f>
        <v>5.833333333333333</v>
      </c>
    </row>
    <row r="92" spans="1:18" x14ac:dyDescent="0.3">
      <c r="A92" s="5">
        <v>11</v>
      </c>
      <c r="B92" s="5" t="s">
        <v>43</v>
      </c>
      <c r="C92" s="5" t="s">
        <v>37</v>
      </c>
      <c r="D92" s="5" t="s">
        <v>38</v>
      </c>
      <c r="E92" s="5" t="s">
        <v>39</v>
      </c>
      <c r="F92" s="6" t="s">
        <v>172</v>
      </c>
      <c r="G92" s="6">
        <v>2</v>
      </c>
      <c r="H92" s="6">
        <v>2</v>
      </c>
      <c r="I92" s="6">
        <v>1</v>
      </c>
      <c r="J92" s="5">
        <f t="shared" si="8"/>
        <v>3</v>
      </c>
      <c r="K92" s="5">
        <f t="shared" si="9"/>
        <v>3</v>
      </c>
      <c r="L92" s="7">
        <f t="shared" si="10"/>
        <v>1.6666666666666667</v>
      </c>
      <c r="M92" s="7">
        <f t="shared" si="11"/>
        <v>0</v>
      </c>
      <c r="N92" s="7">
        <f t="shared" si="12"/>
        <v>0</v>
      </c>
      <c r="O92" s="7">
        <f t="shared" si="13"/>
        <v>1</v>
      </c>
      <c r="P92" s="7">
        <f t="shared" si="14"/>
        <v>0.5</v>
      </c>
      <c r="Q92" s="5">
        <f t="shared" si="15"/>
        <v>0</v>
      </c>
      <c r="R92" s="7">
        <f>IF(OR(L92="",Baseline!$C$9=""),"",ABS(L92-Baseline!$C$9))</f>
        <v>5.833333333333333</v>
      </c>
    </row>
    <row r="93" spans="1:18" x14ac:dyDescent="0.3">
      <c r="A93" s="5">
        <v>12</v>
      </c>
      <c r="B93" s="5" t="s">
        <v>43</v>
      </c>
      <c r="C93" s="5" t="s">
        <v>37</v>
      </c>
      <c r="D93" s="5" t="s">
        <v>38</v>
      </c>
      <c r="E93" s="5" t="s">
        <v>39</v>
      </c>
      <c r="F93" s="6" t="s">
        <v>173</v>
      </c>
      <c r="G93" s="6">
        <v>20</v>
      </c>
      <c r="H93" s="6">
        <v>1</v>
      </c>
      <c r="I93" s="6">
        <v>1</v>
      </c>
      <c r="J93" s="5">
        <f t="shared" si="8"/>
        <v>3</v>
      </c>
      <c r="K93" s="5">
        <f t="shared" si="9"/>
        <v>3</v>
      </c>
      <c r="L93" s="7">
        <f t="shared" si="10"/>
        <v>7.333333333333333</v>
      </c>
      <c r="M93" s="7">
        <f t="shared" si="11"/>
        <v>0</v>
      </c>
      <c r="N93" s="7">
        <f t="shared" si="12"/>
        <v>19</v>
      </c>
      <c r="O93" s="7">
        <f t="shared" si="13"/>
        <v>0</v>
      </c>
      <c r="P93" s="7">
        <f t="shared" si="14"/>
        <v>9.5</v>
      </c>
      <c r="Q93" s="5">
        <f t="shared" si="15"/>
        <v>0</v>
      </c>
      <c r="R93" s="7">
        <f>IF(OR(L93="",Baseline!$C$9=""),"",ABS(L93-Baseline!$C$9))</f>
        <v>0.16666666666666696</v>
      </c>
    </row>
    <row r="94" spans="1:18" x14ac:dyDescent="0.3">
      <c r="A94" s="5">
        <v>13</v>
      </c>
      <c r="B94" s="5" t="s">
        <v>43</v>
      </c>
      <c r="C94" s="5" t="s">
        <v>37</v>
      </c>
      <c r="D94" s="5" t="s">
        <v>38</v>
      </c>
      <c r="E94" s="5" t="s">
        <v>39</v>
      </c>
      <c r="F94" s="6" t="s">
        <v>174</v>
      </c>
      <c r="G94" s="6">
        <v>21</v>
      </c>
      <c r="H94" s="6">
        <v>1</v>
      </c>
      <c r="I94" s="6">
        <v>1</v>
      </c>
      <c r="J94" s="5">
        <f t="shared" si="8"/>
        <v>3</v>
      </c>
      <c r="K94" s="5">
        <f t="shared" si="9"/>
        <v>3</v>
      </c>
      <c r="L94" s="7">
        <f t="shared" si="10"/>
        <v>7.666666666666667</v>
      </c>
      <c r="M94" s="7">
        <f t="shared" si="11"/>
        <v>0</v>
      </c>
      <c r="N94" s="7">
        <f t="shared" si="12"/>
        <v>20</v>
      </c>
      <c r="O94" s="7">
        <f t="shared" si="13"/>
        <v>0</v>
      </c>
      <c r="P94" s="7">
        <f t="shared" si="14"/>
        <v>10</v>
      </c>
      <c r="Q94" s="5">
        <f t="shared" si="15"/>
        <v>0</v>
      </c>
      <c r="R94" s="7">
        <f>IF(OR(L94="",Baseline!$C$9=""),"",ABS(L94-Baseline!$C$9))</f>
        <v>0.16666666666666696</v>
      </c>
    </row>
    <row r="95" spans="1:18" x14ac:dyDescent="0.3">
      <c r="A95" s="5">
        <v>14</v>
      </c>
      <c r="B95" s="5" t="s">
        <v>43</v>
      </c>
      <c r="C95" s="5" t="s">
        <v>37</v>
      </c>
      <c r="D95" s="5" t="s">
        <v>38</v>
      </c>
      <c r="E95" s="5" t="s">
        <v>39</v>
      </c>
      <c r="F95" s="6" t="s">
        <v>175</v>
      </c>
      <c r="G95" s="6">
        <v>37</v>
      </c>
      <c r="H95" s="6">
        <v>17</v>
      </c>
      <c r="I95" s="6">
        <v>16</v>
      </c>
      <c r="J95" s="5">
        <f t="shared" si="8"/>
        <v>3</v>
      </c>
      <c r="K95" s="5">
        <f t="shared" si="9"/>
        <v>3</v>
      </c>
      <c r="L95" s="7">
        <f t="shared" si="10"/>
        <v>23.333333333333332</v>
      </c>
      <c r="M95" s="7">
        <f t="shared" si="11"/>
        <v>0</v>
      </c>
      <c r="N95" s="7">
        <f t="shared" si="12"/>
        <v>20</v>
      </c>
      <c r="O95" s="7">
        <f t="shared" si="13"/>
        <v>1</v>
      </c>
      <c r="P95" s="7">
        <f t="shared" si="14"/>
        <v>10.5</v>
      </c>
      <c r="Q95" s="5">
        <f t="shared" si="15"/>
        <v>0</v>
      </c>
      <c r="R95" s="7">
        <f>IF(OR(L95="",Baseline!$C$9=""),"",ABS(L95-Baseline!$C$9))</f>
        <v>15.833333333333332</v>
      </c>
    </row>
    <row r="96" spans="1:18" x14ac:dyDescent="0.3">
      <c r="A96" s="5">
        <v>15</v>
      </c>
      <c r="B96" s="5" t="s">
        <v>43</v>
      </c>
      <c r="C96" s="5" t="s">
        <v>37</v>
      </c>
      <c r="D96" s="5" t="s">
        <v>38</v>
      </c>
      <c r="E96" s="5" t="s">
        <v>39</v>
      </c>
      <c r="F96" s="6" t="s">
        <v>176</v>
      </c>
      <c r="G96" s="6">
        <v>1</v>
      </c>
      <c r="H96" s="6">
        <v>1</v>
      </c>
      <c r="I96" s="6">
        <v>1</v>
      </c>
      <c r="J96" s="5">
        <f t="shared" si="8"/>
        <v>3</v>
      </c>
      <c r="K96" s="5">
        <f t="shared" si="9"/>
        <v>3</v>
      </c>
      <c r="L96" s="7">
        <f t="shared" si="10"/>
        <v>1</v>
      </c>
      <c r="M96" s="7">
        <f t="shared" si="11"/>
        <v>0</v>
      </c>
      <c r="N96" s="7">
        <f t="shared" si="12"/>
        <v>0</v>
      </c>
      <c r="O96" s="7">
        <f t="shared" si="13"/>
        <v>0</v>
      </c>
      <c r="P96" s="7">
        <f t="shared" si="14"/>
        <v>0</v>
      </c>
      <c r="Q96" s="5">
        <f t="shared" si="15"/>
        <v>0</v>
      </c>
      <c r="R96" s="7">
        <f>IF(OR(L96="",Baseline!$C$9=""),"",ABS(L96-Baseline!$C$9))</f>
        <v>6.5</v>
      </c>
    </row>
    <row r="97" spans="1:18" x14ac:dyDescent="0.3">
      <c r="A97" s="5">
        <v>16</v>
      </c>
      <c r="B97" s="5" t="s">
        <v>43</v>
      </c>
      <c r="C97" s="5" t="s">
        <v>37</v>
      </c>
      <c r="D97" s="5" t="s">
        <v>38</v>
      </c>
      <c r="E97" s="5" t="s">
        <v>39</v>
      </c>
      <c r="F97" s="6" t="s">
        <v>177</v>
      </c>
      <c r="G97" s="6">
        <v>23</v>
      </c>
      <c r="H97" s="6">
        <v>39</v>
      </c>
      <c r="I97" s="6">
        <v>1</v>
      </c>
      <c r="J97" s="5">
        <f t="shared" si="8"/>
        <v>3</v>
      </c>
      <c r="K97" s="5">
        <f t="shared" si="9"/>
        <v>3</v>
      </c>
      <c r="L97" s="7">
        <f t="shared" si="10"/>
        <v>21</v>
      </c>
      <c r="M97" s="7">
        <f t="shared" si="11"/>
        <v>0</v>
      </c>
      <c r="N97" s="7">
        <f t="shared" si="12"/>
        <v>16</v>
      </c>
      <c r="O97" s="7">
        <f t="shared" si="13"/>
        <v>38</v>
      </c>
      <c r="P97" s="7">
        <f t="shared" si="14"/>
        <v>27</v>
      </c>
      <c r="Q97" s="5">
        <f t="shared" si="15"/>
        <v>0</v>
      </c>
      <c r="R97" s="7">
        <f>IF(OR(L97="",Baseline!$C$9=""),"",ABS(L97-Baseline!$C$9))</f>
        <v>13.5</v>
      </c>
    </row>
    <row r="98" spans="1:18" x14ac:dyDescent="0.3">
      <c r="A98" s="5">
        <v>17</v>
      </c>
      <c r="B98" s="5" t="s">
        <v>43</v>
      </c>
      <c r="C98" s="5" t="s">
        <v>37</v>
      </c>
      <c r="D98" s="5" t="s">
        <v>38</v>
      </c>
      <c r="E98" s="5" t="s">
        <v>39</v>
      </c>
      <c r="F98" s="6" t="s">
        <v>178</v>
      </c>
      <c r="G98" s="6">
        <v>1</v>
      </c>
      <c r="H98" s="6">
        <v>12</v>
      </c>
      <c r="I98" s="6">
        <v>1</v>
      </c>
      <c r="J98" s="5">
        <f t="shared" si="8"/>
        <v>3</v>
      </c>
      <c r="K98" s="5">
        <f t="shared" si="9"/>
        <v>3</v>
      </c>
      <c r="L98" s="7">
        <f t="shared" si="10"/>
        <v>4.666666666666667</v>
      </c>
      <c r="M98" s="7">
        <f t="shared" si="11"/>
        <v>0</v>
      </c>
      <c r="N98" s="7">
        <f t="shared" si="12"/>
        <v>11</v>
      </c>
      <c r="O98" s="7">
        <f t="shared" si="13"/>
        <v>11</v>
      </c>
      <c r="P98" s="7">
        <f t="shared" si="14"/>
        <v>11</v>
      </c>
      <c r="Q98" s="5">
        <f t="shared" si="15"/>
        <v>0</v>
      </c>
      <c r="R98" s="7">
        <f>IF(OR(L98="",Baseline!$C$9=""),"",ABS(L98-Baseline!$C$9))</f>
        <v>2.833333333333333</v>
      </c>
    </row>
    <row r="99" spans="1:18" x14ac:dyDescent="0.3">
      <c r="A99" s="5">
        <v>18</v>
      </c>
      <c r="B99" s="5" t="s">
        <v>43</v>
      </c>
      <c r="C99" s="5" t="s">
        <v>37</v>
      </c>
      <c r="D99" s="5" t="s">
        <v>38</v>
      </c>
      <c r="E99" s="5" t="s">
        <v>39</v>
      </c>
      <c r="F99" s="6" t="s">
        <v>179</v>
      </c>
      <c r="G99" s="6">
        <v>21</v>
      </c>
      <c r="H99" s="6">
        <v>1</v>
      </c>
      <c r="I99" s="6">
        <v>1</v>
      </c>
      <c r="J99" s="5">
        <f t="shared" si="8"/>
        <v>3</v>
      </c>
      <c r="K99" s="5">
        <f t="shared" si="9"/>
        <v>3</v>
      </c>
      <c r="L99" s="7">
        <f t="shared" si="10"/>
        <v>7.666666666666667</v>
      </c>
      <c r="M99" s="7">
        <f t="shared" si="11"/>
        <v>0</v>
      </c>
      <c r="N99" s="7">
        <f t="shared" si="12"/>
        <v>20</v>
      </c>
      <c r="O99" s="7">
        <f t="shared" si="13"/>
        <v>0</v>
      </c>
      <c r="P99" s="7">
        <f t="shared" si="14"/>
        <v>10</v>
      </c>
      <c r="Q99" s="5">
        <f t="shared" si="15"/>
        <v>0</v>
      </c>
      <c r="R99" s="7">
        <f>IF(OR(L99="",Baseline!$C$9=""),"",ABS(L99-Baseline!$C$9))</f>
        <v>0.16666666666666696</v>
      </c>
    </row>
    <row r="100" spans="1:18" x14ac:dyDescent="0.3">
      <c r="A100" s="5">
        <v>19</v>
      </c>
      <c r="B100" s="5" t="s">
        <v>43</v>
      </c>
      <c r="C100" s="5" t="s">
        <v>37</v>
      </c>
      <c r="D100" s="5" t="s">
        <v>38</v>
      </c>
      <c r="E100" s="5" t="s">
        <v>39</v>
      </c>
      <c r="F100" s="6" t="s">
        <v>180</v>
      </c>
      <c r="G100" s="6">
        <v>1</v>
      </c>
      <c r="H100" s="6">
        <v>2</v>
      </c>
      <c r="I100" s="6">
        <v>1</v>
      </c>
      <c r="J100" s="5">
        <f>IF(COUNTA(G100:I100)=0,"",3)</f>
        <v>3</v>
      </c>
      <c r="K100" s="5">
        <f t="shared" si="9"/>
        <v>3</v>
      </c>
      <c r="L100" s="7">
        <f t="shared" si="10"/>
        <v>1.3333333333333333</v>
      </c>
      <c r="M100" s="7">
        <f t="shared" si="11"/>
        <v>0</v>
      </c>
      <c r="N100" s="7">
        <f t="shared" si="12"/>
        <v>1</v>
      </c>
      <c r="O100" s="7">
        <f t="shared" si="13"/>
        <v>1</v>
      </c>
      <c r="P100" s="7">
        <f t="shared" si="14"/>
        <v>1</v>
      </c>
      <c r="Q100" s="5">
        <f t="shared" si="15"/>
        <v>0</v>
      </c>
      <c r="R100" s="7">
        <f>IF(OR(L100="",Baseline!$C$9=""),"",ABS(L100-Baseline!$C$9))</f>
        <v>6.166666666666667</v>
      </c>
    </row>
    <row r="101" spans="1:18" x14ac:dyDescent="0.3">
      <c r="A101" s="5">
        <v>20</v>
      </c>
      <c r="B101" s="5" t="s">
        <v>43</v>
      </c>
      <c r="C101" s="5" t="s">
        <v>37</v>
      </c>
      <c r="D101" s="5" t="s">
        <v>38</v>
      </c>
      <c r="E101" s="5" t="s">
        <v>39</v>
      </c>
      <c r="F101" s="6" t="s">
        <v>181</v>
      </c>
      <c r="G101" s="6">
        <v>20</v>
      </c>
      <c r="H101" s="6">
        <v>2</v>
      </c>
      <c r="I101" s="6">
        <v>2</v>
      </c>
      <c r="J101" s="5">
        <f t="shared" si="8"/>
        <v>3</v>
      </c>
      <c r="K101" s="5">
        <f t="shared" si="9"/>
        <v>3</v>
      </c>
      <c r="L101" s="7">
        <f t="shared" si="10"/>
        <v>8</v>
      </c>
      <c r="M101" s="7">
        <f t="shared" si="11"/>
        <v>0</v>
      </c>
      <c r="N101" s="7">
        <f t="shared" si="12"/>
        <v>18</v>
      </c>
      <c r="O101" s="7">
        <f t="shared" si="13"/>
        <v>0</v>
      </c>
      <c r="P101" s="7">
        <f t="shared" si="14"/>
        <v>9</v>
      </c>
      <c r="Q101" s="5">
        <f t="shared" si="15"/>
        <v>0</v>
      </c>
      <c r="R101" s="7">
        <f>IF(OR(L101="",Baseline!$C$9=""),"",ABS(L101-Baseline!$C$9))</f>
        <v>0.5</v>
      </c>
    </row>
    <row r="102" spans="1:18" x14ac:dyDescent="0.3">
      <c r="A102" s="5">
        <v>1</v>
      </c>
      <c r="B102" s="5" t="s">
        <v>44</v>
      </c>
      <c r="C102" s="5" t="s">
        <v>37</v>
      </c>
      <c r="D102" s="5" t="s">
        <v>38</v>
      </c>
      <c r="E102" s="5" t="s">
        <v>39</v>
      </c>
      <c r="F102" s="6" t="s">
        <v>182</v>
      </c>
      <c r="G102" s="6" t="s">
        <v>102</v>
      </c>
      <c r="H102" s="6">
        <v>20</v>
      </c>
      <c r="I102" s="6">
        <v>1</v>
      </c>
      <c r="J102" s="5">
        <f t="shared" si="8"/>
        <v>3</v>
      </c>
      <c r="K102" s="5">
        <f t="shared" si="9"/>
        <v>2</v>
      </c>
      <c r="L102" s="7">
        <f t="shared" si="10"/>
        <v>10.5</v>
      </c>
      <c r="M102" s="7">
        <f t="shared" si="11"/>
        <v>33.333333333333329</v>
      </c>
      <c r="N102" s="7" t="str">
        <f t="shared" si="12"/>
        <v/>
      </c>
      <c r="O102" s="7">
        <f t="shared" si="13"/>
        <v>19</v>
      </c>
      <c r="P102" s="7">
        <f t="shared" si="14"/>
        <v>19</v>
      </c>
      <c r="Q102" s="5">
        <f t="shared" si="15"/>
        <v>0</v>
      </c>
      <c r="R102" s="7">
        <f>IF(OR(L102="",Baseline!$C$10=""),"",ABS(L102-Baseline!$C$10))</f>
        <v>2.1666666666666679</v>
      </c>
    </row>
    <row r="103" spans="1:18" x14ac:dyDescent="0.3">
      <c r="A103" s="5">
        <v>2</v>
      </c>
      <c r="B103" s="5" t="s">
        <v>44</v>
      </c>
      <c r="C103" s="5" t="s">
        <v>37</v>
      </c>
      <c r="D103" s="5" t="s">
        <v>38</v>
      </c>
      <c r="E103" s="5" t="s">
        <v>39</v>
      </c>
      <c r="F103" s="6" t="s">
        <v>183</v>
      </c>
      <c r="G103" s="6">
        <v>19</v>
      </c>
      <c r="H103" s="6">
        <v>1</v>
      </c>
      <c r="I103" s="6">
        <v>1</v>
      </c>
      <c r="J103" s="5">
        <f t="shared" si="8"/>
        <v>3</v>
      </c>
      <c r="K103" s="5">
        <f t="shared" si="9"/>
        <v>3</v>
      </c>
      <c r="L103" s="7">
        <f t="shared" si="10"/>
        <v>7</v>
      </c>
      <c r="M103" s="7">
        <f t="shared" si="11"/>
        <v>0</v>
      </c>
      <c r="N103" s="7">
        <f t="shared" si="12"/>
        <v>18</v>
      </c>
      <c r="O103" s="7">
        <f t="shared" si="13"/>
        <v>0</v>
      </c>
      <c r="P103" s="7">
        <f t="shared" si="14"/>
        <v>9</v>
      </c>
      <c r="Q103" s="5">
        <f t="shared" si="15"/>
        <v>0</v>
      </c>
      <c r="R103" s="7">
        <f>IF(OR(L103="",Baseline!$C$10=""),"",ABS(L103-Baseline!$C$10))</f>
        <v>1.3333333333333321</v>
      </c>
    </row>
    <row r="104" spans="1:18" x14ac:dyDescent="0.3">
      <c r="A104" s="5">
        <v>3</v>
      </c>
      <c r="B104" s="5" t="s">
        <v>44</v>
      </c>
      <c r="C104" s="5" t="s">
        <v>37</v>
      </c>
      <c r="D104" s="5" t="s">
        <v>38</v>
      </c>
      <c r="E104" s="5" t="s">
        <v>39</v>
      </c>
      <c r="F104" s="6" t="s">
        <v>184</v>
      </c>
      <c r="G104" s="6">
        <v>1</v>
      </c>
      <c r="H104" s="6">
        <v>1</v>
      </c>
      <c r="I104" s="6">
        <v>1</v>
      </c>
      <c r="J104" s="5">
        <f t="shared" si="8"/>
        <v>3</v>
      </c>
      <c r="K104" s="5">
        <f t="shared" si="9"/>
        <v>3</v>
      </c>
      <c r="L104" s="7">
        <f t="shared" si="10"/>
        <v>1</v>
      </c>
      <c r="M104" s="7">
        <f t="shared" si="11"/>
        <v>0</v>
      </c>
      <c r="N104" s="7">
        <f t="shared" si="12"/>
        <v>0</v>
      </c>
      <c r="O104" s="7">
        <f t="shared" si="13"/>
        <v>0</v>
      </c>
      <c r="P104" s="7">
        <f t="shared" si="14"/>
        <v>0</v>
      </c>
      <c r="Q104" s="5">
        <f t="shared" si="15"/>
        <v>0</v>
      </c>
      <c r="R104" s="7">
        <f>IF(OR(L104="",Baseline!$C$10=""),"",ABS(L104-Baseline!$C$10))</f>
        <v>7.3333333333333321</v>
      </c>
    </row>
    <row r="105" spans="1:18" x14ac:dyDescent="0.3">
      <c r="A105" s="5">
        <v>4</v>
      </c>
      <c r="B105" s="5" t="s">
        <v>44</v>
      </c>
      <c r="C105" s="5" t="s">
        <v>37</v>
      </c>
      <c r="D105" s="5" t="s">
        <v>38</v>
      </c>
      <c r="E105" s="5" t="s">
        <v>39</v>
      </c>
      <c r="F105" s="6" t="s">
        <v>185</v>
      </c>
      <c r="G105" s="6">
        <v>22</v>
      </c>
      <c r="H105" s="6">
        <v>2</v>
      </c>
      <c r="I105" s="6">
        <v>10</v>
      </c>
      <c r="J105" s="5">
        <f t="shared" si="8"/>
        <v>3</v>
      </c>
      <c r="K105" s="5">
        <f t="shared" si="9"/>
        <v>3</v>
      </c>
      <c r="L105" s="7">
        <f t="shared" si="10"/>
        <v>11.333333333333334</v>
      </c>
      <c r="M105" s="7">
        <f t="shared" si="11"/>
        <v>0</v>
      </c>
      <c r="N105" s="7">
        <f t="shared" si="12"/>
        <v>20</v>
      </c>
      <c r="O105" s="7">
        <f t="shared" si="13"/>
        <v>8</v>
      </c>
      <c r="P105" s="7">
        <f t="shared" si="14"/>
        <v>14</v>
      </c>
      <c r="Q105" s="5">
        <f t="shared" si="15"/>
        <v>0</v>
      </c>
      <c r="R105" s="7">
        <f>IF(OR(L105="",Baseline!$C$10=""),"",ABS(L105-Baseline!$C$10))</f>
        <v>3.0000000000000018</v>
      </c>
    </row>
    <row r="106" spans="1:18" x14ac:dyDescent="0.3">
      <c r="A106" s="5">
        <v>5</v>
      </c>
      <c r="B106" s="5" t="s">
        <v>44</v>
      </c>
      <c r="C106" s="5" t="s">
        <v>37</v>
      </c>
      <c r="D106" s="5" t="s">
        <v>38</v>
      </c>
      <c r="E106" s="5" t="s">
        <v>39</v>
      </c>
      <c r="F106" s="6" t="s">
        <v>186</v>
      </c>
      <c r="G106" s="6">
        <v>1</v>
      </c>
      <c r="H106" s="6">
        <v>1</v>
      </c>
      <c r="I106" s="6">
        <v>28</v>
      </c>
      <c r="J106" s="5">
        <f t="shared" si="8"/>
        <v>3</v>
      </c>
      <c r="K106" s="5">
        <f t="shared" si="9"/>
        <v>3</v>
      </c>
      <c r="L106" s="7">
        <f t="shared" si="10"/>
        <v>10</v>
      </c>
      <c r="M106" s="7">
        <f t="shared" si="11"/>
        <v>0</v>
      </c>
      <c r="N106" s="7">
        <f t="shared" si="12"/>
        <v>0</v>
      </c>
      <c r="O106" s="7">
        <f t="shared" si="13"/>
        <v>27</v>
      </c>
      <c r="P106" s="7">
        <f t="shared" si="14"/>
        <v>13.5</v>
      </c>
      <c r="Q106" s="5">
        <f t="shared" si="15"/>
        <v>0</v>
      </c>
      <c r="R106" s="7">
        <f>IF(OR(L106="",Baseline!$C$10=""),"",ABS(L106-Baseline!$C$10))</f>
        <v>1.6666666666666679</v>
      </c>
    </row>
    <row r="107" spans="1:18" x14ac:dyDescent="0.3">
      <c r="A107" s="5">
        <v>6</v>
      </c>
      <c r="B107" s="5" t="s">
        <v>44</v>
      </c>
      <c r="C107" s="5" t="s">
        <v>37</v>
      </c>
      <c r="D107" s="5" t="s">
        <v>38</v>
      </c>
      <c r="E107" s="5" t="s">
        <v>39</v>
      </c>
      <c r="F107" s="6" t="s">
        <v>187</v>
      </c>
      <c r="G107" s="6">
        <v>20</v>
      </c>
      <c r="H107" s="6">
        <v>12</v>
      </c>
      <c r="I107" s="6">
        <v>1</v>
      </c>
      <c r="J107" s="5">
        <f t="shared" si="8"/>
        <v>3</v>
      </c>
      <c r="K107" s="5">
        <f t="shared" si="9"/>
        <v>3</v>
      </c>
      <c r="L107" s="7">
        <f t="shared" si="10"/>
        <v>11</v>
      </c>
      <c r="M107" s="7">
        <f t="shared" si="11"/>
        <v>0</v>
      </c>
      <c r="N107" s="7">
        <f t="shared" si="12"/>
        <v>8</v>
      </c>
      <c r="O107" s="7">
        <f t="shared" si="13"/>
        <v>11</v>
      </c>
      <c r="P107" s="7">
        <f t="shared" si="14"/>
        <v>9.5</v>
      </c>
      <c r="Q107" s="5">
        <f t="shared" si="15"/>
        <v>0</v>
      </c>
      <c r="R107" s="7">
        <f>IF(OR(L107="",Baseline!$C$10=""),"",ABS(L107-Baseline!$C$10))</f>
        <v>2.6666666666666679</v>
      </c>
    </row>
    <row r="108" spans="1:18" x14ac:dyDescent="0.3">
      <c r="A108" s="5">
        <v>7</v>
      </c>
      <c r="B108" s="5" t="s">
        <v>44</v>
      </c>
      <c r="C108" s="5" t="s">
        <v>37</v>
      </c>
      <c r="D108" s="5" t="s">
        <v>38</v>
      </c>
      <c r="E108" s="5" t="s">
        <v>39</v>
      </c>
      <c r="F108" s="6" t="s">
        <v>188</v>
      </c>
      <c r="G108" s="6">
        <v>21</v>
      </c>
      <c r="H108" s="6">
        <v>1</v>
      </c>
      <c r="I108" s="6">
        <v>1</v>
      </c>
      <c r="J108" s="5">
        <f t="shared" si="8"/>
        <v>3</v>
      </c>
      <c r="K108" s="5">
        <f t="shared" si="9"/>
        <v>3</v>
      </c>
      <c r="L108" s="7">
        <f t="shared" si="10"/>
        <v>7.666666666666667</v>
      </c>
      <c r="M108" s="7">
        <f t="shared" si="11"/>
        <v>0</v>
      </c>
      <c r="N108" s="7">
        <f t="shared" si="12"/>
        <v>20</v>
      </c>
      <c r="O108" s="7">
        <f t="shared" si="13"/>
        <v>0</v>
      </c>
      <c r="P108" s="7">
        <f t="shared" si="14"/>
        <v>10</v>
      </c>
      <c r="Q108" s="5">
        <f t="shared" si="15"/>
        <v>0</v>
      </c>
      <c r="R108" s="7">
        <f>IF(OR(L108="",Baseline!$C$10=""),"",ABS(L108-Baseline!$C$10))</f>
        <v>0.66666666666666519</v>
      </c>
    </row>
    <row r="109" spans="1:18" x14ac:dyDescent="0.3">
      <c r="A109" s="5">
        <v>8</v>
      </c>
      <c r="B109" s="5" t="s">
        <v>44</v>
      </c>
      <c r="C109" s="5" t="s">
        <v>37</v>
      </c>
      <c r="D109" s="5" t="s">
        <v>38</v>
      </c>
      <c r="E109" s="5" t="s">
        <v>39</v>
      </c>
      <c r="F109" s="6" t="s">
        <v>189</v>
      </c>
      <c r="G109" s="6">
        <v>1</v>
      </c>
      <c r="H109" s="6">
        <v>1</v>
      </c>
      <c r="I109" s="6">
        <v>12</v>
      </c>
      <c r="J109" s="5">
        <f t="shared" si="8"/>
        <v>3</v>
      </c>
      <c r="K109" s="5">
        <f t="shared" si="9"/>
        <v>3</v>
      </c>
      <c r="L109" s="7">
        <f t="shared" si="10"/>
        <v>4.666666666666667</v>
      </c>
      <c r="M109" s="7">
        <f t="shared" si="11"/>
        <v>0</v>
      </c>
      <c r="N109" s="7">
        <f t="shared" si="12"/>
        <v>0</v>
      </c>
      <c r="O109" s="7">
        <f t="shared" si="13"/>
        <v>11</v>
      </c>
      <c r="P109" s="7">
        <f t="shared" si="14"/>
        <v>5.5</v>
      </c>
      <c r="Q109" s="5">
        <f t="shared" si="15"/>
        <v>0</v>
      </c>
      <c r="R109" s="7">
        <f>IF(OR(L109="",Baseline!$C$10=""),"",ABS(L109-Baseline!$C$10))</f>
        <v>3.6666666666666652</v>
      </c>
    </row>
    <row r="110" spans="1:18" x14ac:dyDescent="0.3">
      <c r="A110" s="5">
        <v>9</v>
      </c>
      <c r="B110" s="5" t="s">
        <v>44</v>
      </c>
      <c r="C110" s="5" t="s">
        <v>37</v>
      </c>
      <c r="D110" s="5" t="s">
        <v>38</v>
      </c>
      <c r="E110" s="5" t="s">
        <v>39</v>
      </c>
      <c r="F110" s="6" t="s">
        <v>190</v>
      </c>
      <c r="G110" s="6">
        <v>14</v>
      </c>
      <c r="H110" s="6">
        <v>3</v>
      </c>
      <c r="I110" s="6">
        <v>1</v>
      </c>
      <c r="J110" s="5">
        <f t="shared" si="8"/>
        <v>3</v>
      </c>
      <c r="K110" s="5">
        <f t="shared" si="9"/>
        <v>3</v>
      </c>
      <c r="L110" s="7">
        <f t="shared" si="10"/>
        <v>6</v>
      </c>
      <c r="M110" s="7">
        <f t="shared" si="11"/>
        <v>0</v>
      </c>
      <c r="N110" s="7">
        <f t="shared" si="12"/>
        <v>11</v>
      </c>
      <c r="O110" s="7">
        <f t="shared" si="13"/>
        <v>2</v>
      </c>
      <c r="P110" s="7">
        <f t="shared" si="14"/>
        <v>6.5</v>
      </c>
      <c r="Q110" s="5">
        <f t="shared" si="15"/>
        <v>0</v>
      </c>
      <c r="R110" s="7">
        <f>IF(OR(L110="",Baseline!$C$10=""),"",ABS(L110-Baseline!$C$10))</f>
        <v>2.3333333333333321</v>
      </c>
    </row>
    <row r="111" spans="1:18" x14ac:dyDescent="0.3">
      <c r="A111" s="5">
        <v>10</v>
      </c>
      <c r="B111" s="5" t="s">
        <v>44</v>
      </c>
      <c r="C111" s="5" t="s">
        <v>37</v>
      </c>
      <c r="D111" s="5" t="s">
        <v>38</v>
      </c>
      <c r="E111" s="5" t="s">
        <v>39</v>
      </c>
      <c r="F111" s="6" t="s">
        <v>191</v>
      </c>
      <c r="G111" s="6">
        <v>21</v>
      </c>
      <c r="H111" s="6">
        <v>7</v>
      </c>
      <c r="I111" s="6">
        <v>1</v>
      </c>
      <c r="J111" s="5">
        <f t="shared" si="8"/>
        <v>3</v>
      </c>
      <c r="K111" s="5">
        <f t="shared" si="9"/>
        <v>3</v>
      </c>
      <c r="L111" s="7">
        <f t="shared" si="10"/>
        <v>9.6666666666666661</v>
      </c>
      <c r="M111" s="7">
        <f t="shared" si="11"/>
        <v>0</v>
      </c>
      <c r="N111" s="7">
        <f t="shared" si="12"/>
        <v>14</v>
      </c>
      <c r="O111" s="7">
        <f t="shared" si="13"/>
        <v>6</v>
      </c>
      <c r="P111" s="7">
        <f t="shared" si="14"/>
        <v>10</v>
      </c>
      <c r="Q111" s="5">
        <f t="shared" si="15"/>
        <v>0</v>
      </c>
      <c r="R111" s="7">
        <f>IF(OR(L111="",Baseline!$C$10=""),"",ABS(L111-Baseline!$C$10))</f>
        <v>1.3333333333333339</v>
      </c>
    </row>
    <row r="112" spans="1:18" x14ac:dyDescent="0.3">
      <c r="A112" s="5">
        <v>11</v>
      </c>
      <c r="B112" s="5" t="s">
        <v>44</v>
      </c>
      <c r="C112" s="5" t="s">
        <v>37</v>
      </c>
      <c r="D112" s="5" t="s">
        <v>38</v>
      </c>
      <c r="E112" s="5" t="s">
        <v>39</v>
      </c>
      <c r="F112" s="6" t="s">
        <v>192</v>
      </c>
      <c r="G112" s="6">
        <v>3</v>
      </c>
      <c r="H112" s="6">
        <v>2</v>
      </c>
      <c r="I112" s="6">
        <v>3</v>
      </c>
      <c r="J112" s="5">
        <f t="shared" si="8"/>
        <v>3</v>
      </c>
      <c r="K112" s="5">
        <f t="shared" si="9"/>
        <v>3</v>
      </c>
      <c r="L112" s="7">
        <f t="shared" si="10"/>
        <v>2.6666666666666665</v>
      </c>
      <c r="M112" s="7">
        <f t="shared" si="11"/>
        <v>0</v>
      </c>
      <c r="N112" s="7">
        <f t="shared" si="12"/>
        <v>1</v>
      </c>
      <c r="O112" s="7">
        <f t="shared" si="13"/>
        <v>1</v>
      </c>
      <c r="P112" s="7">
        <f t="shared" si="14"/>
        <v>1</v>
      </c>
      <c r="Q112" s="5">
        <f t="shared" si="15"/>
        <v>0</v>
      </c>
      <c r="R112" s="7">
        <f>IF(OR(L112="",Baseline!$C$10=""),"",ABS(L112-Baseline!$C$10))</f>
        <v>5.6666666666666661</v>
      </c>
    </row>
    <row r="113" spans="1:18" x14ac:dyDescent="0.3">
      <c r="A113" s="5">
        <v>12</v>
      </c>
      <c r="B113" s="5" t="s">
        <v>44</v>
      </c>
      <c r="C113" s="5" t="s">
        <v>37</v>
      </c>
      <c r="D113" s="5" t="s">
        <v>38</v>
      </c>
      <c r="E113" s="5" t="s">
        <v>39</v>
      </c>
      <c r="F113" s="6" t="s">
        <v>193</v>
      </c>
      <c r="G113" s="6">
        <v>7</v>
      </c>
      <c r="H113" s="6">
        <v>16</v>
      </c>
      <c r="I113" s="6">
        <v>1</v>
      </c>
      <c r="J113" s="5">
        <f t="shared" si="8"/>
        <v>3</v>
      </c>
      <c r="K113" s="5">
        <f t="shared" si="9"/>
        <v>3</v>
      </c>
      <c r="L113" s="7">
        <f t="shared" si="10"/>
        <v>8</v>
      </c>
      <c r="M113" s="7">
        <f t="shared" si="11"/>
        <v>0</v>
      </c>
      <c r="N113" s="7">
        <f t="shared" si="12"/>
        <v>9</v>
      </c>
      <c r="O113" s="7">
        <f t="shared" si="13"/>
        <v>15</v>
      </c>
      <c r="P113" s="7">
        <f t="shared" si="14"/>
        <v>12</v>
      </c>
      <c r="Q113" s="5">
        <f t="shared" si="15"/>
        <v>0</v>
      </c>
      <c r="R113" s="7">
        <f>IF(OR(L113="",Baseline!$C$10=""),"",ABS(L113-Baseline!$C$10))</f>
        <v>0.33333333333333215</v>
      </c>
    </row>
    <row r="114" spans="1:18" x14ac:dyDescent="0.3">
      <c r="A114" s="5">
        <v>13</v>
      </c>
      <c r="B114" s="5" t="s">
        <v>44</v>
      </c>
      <c r="C114" s="5" t="s">
        <v>37</v>
      </c>
      <c r="D114" s="5" t="s">
        <v>38</v>
      </c>
      <c r="E114" s="5" t="s">
        <v>39</v>
      </c>
      <c r="F114" s="6" t="s">
        <v>194</v>
      </c>
      <c r="G114" s="6">
        <v>20</v>
      </c>
      <c r="H114" s="6">
        <v>11</v>
      </c>
      <c r="I114" s="6">
        <v>1</v>
      </c>
      <c r="J114" s="5">
        <f t="shared" si="8"/>
        <v>3</v>
      </c>
      <c r="K114" s="5">
        <f t="shared" si="9"/>
        <v>3</v>
      </c>
      <c r="L114" s="7">
        <f t="shared" si="10"/>
        <v>10.666666666666666</v>
      </c>
      <c r="M114" s="7">
        <f t="shared" si="11"/>
        <v>0</v>
      </c>
      <c r="N114" s="7">
        <f t="shared" si="12"/>
        <v>9</v>
      </c>
      <c r="O114" s="7">
        <f t="shared" si="13"/>
        <v>10</v>
      </c>
      <c r="P114" s="7">
        <f t="shared" si="14"/>
        <v>9.5</v>
      </c>
      <c r="Q114" s="5">
        <f t="shared" si="15"/>
        <v>0</v>
      </c>
      <c r="R114" s="7">
        <f>IF(OR(L114="",Baseline!$C$10=""),"",ABS(L114-Baseline!$C$10))</f>
        <v>2.3333333333333339</v>
      </c>
    </row>
    <row r="115" spans="1:18" x14ac:dyDescent="0.3">
      <c r="A115" s="5">
        <v>14</v>
      </c>
      <c r="B115" s="5" t="s">
        <v>44</v>
      </c>
      <c r="C115" s="5" t="s">
        <v>37</v>
      </c>
      <c r="D115" s="5" t="s">
        <v>38</v>
      </c>
      <c r="E115" s="5" t="s">
        <v>39</v>
      </c>
      <c r="F115" s="6" t="s">
        <v>195</v>
      </c>
      <c r="G115" s="6">
        <v>22</v>
      </c>
      <c r="H115" s="6">
        <v>1</v>
      </c>
      <c r="I115" s="6">
        <v>10</v>
      </c>
      <c r="J115" s="5">
        <f t="shared" si="8"/>
        <v>3</v>
      </c>
      <c r="K115" s="5">
        <f t="shared" si="9"/>
        <v>3</v>
      </c>
      <c r="L115" s="7">
        <f t="shared" si="10"/>
        <v>11</v>
      </c>
      <c r="M115" s="7">
        <f t="shared" si="11"/>
        <v>0</v>
      </c>
      <c r="N115" s="7">
        <f t="shared" si="12"/>
        <v>21</v>
      </c>
      <c r="O115" s="7">
        <f t="shared" si="13"/>
        <v>9</v>
      </c>
      <c r="P115" s="7">
        <f t="shared" si="14"/>
        <v>15</v>
      </c>
      <c r="Q115" s="5">
        <f t="shared" si="15"/>
        <v>0</v>
      </c>
      <c r="R115" s="7">
        <f>IF(OR(L115="",Baseline!$C$10=""),"",ABS(L115-Baseline!$C$10))</f>
        <v>2.6666666666666679</v>
      </c>
    </row>
    <row r="116" spans="1:18" x14ac:dyDescent="0.3">
      <c r="A116" s="5">
        <v>15</v>
      </c>
      <c r="B116" s="5" t="s">
        <v>44</v>
      </c>
      <c r="C116" s="5" t="s">
        <v>37</v>
      </c>
      <c r="D116" s="5" t="s">
        <v>38</v>
      </c>
      <c r="E116" s="5" t="s">
        <v>39</v>
      </c>
      <c r="F116" s="6" t="s">
        <v>196</v>
      </c>
      <c r="G116" s="6">
        <v>25</v>
      </c>
      <c r="H116" s="6">
        <v>1</v>
      </c>
      <c r="I116" s="6">
        <v>1</v>
      </c>
      <c r="J116" s="5">
        <f t="shared" si="8"/>
        <v>3</v>
      </c>
      <c r="K116" s="5">
        <f t="shared" si="9"/>
        <v>3</v>
      </c>
      <c r="L116" s="7">
        <f t="shared" si="10"/>
        <v>9</v>
      </c>
      <c r="M116" s="7">
        <f t="shared" si="11"/>
        <v>0</v>
      </c>
      <c r="N116" s="7">
        <f t="shared" si="12"/>
        <v>24</v>
      </c>
      <c r="O116" s="7">
        <f t="shared" si="13"/>
        <v>0</v>
      </c>
      <c r="P116" s="7">
        <f t="shared" si="14"/>
        <v>12</v>
      </c>
      <c r="Q116" s="5">
        <f t="shared" si="15"/>
        <v>0</v>
      </c>
      <c r="R116" s="7">
        <f>IF(OR(L116="",Baseline!$C$10=""),"",ABS(L116-Baseline!$C$10))</f>
        <v>0.66666666666666785</v>
      </c>
    </row>
    <row r="117" spans="1:18" x14ac:dyDescent="0.3">
      <c r="A117" s="5">
        <v>16</v>
      </c>
      <c r="B117" s="5" t="s">
        <v>44</v>
      </c>
      <c r="C117" s="5" t="s">
        <v>37</v>
      </c>
      <c r="D117" s="5" t="s">
        <v>38</v>
      </c>
      <c r="E117" s="5" t="s">
        <v>39</v>
      </c>
      <c r="F117" s="6" t="s">
        <v>197</v>
      </c>
      <c r="G117" s="6">
        <v>8</v>
      </c>
      <c r="H117" s="6">
        <v>1</v>
      </c>
      <c r="I117" s="6">
        <v>9</v>
      </c>
      <c r="J117" s="5">
        <f t="shared" si="8"/>
        <v>3</v>
      </c>
      <c r="K117" s="5">
        <f t="shared" si="9"/>
        <v>3</v>
      </c>
      <c r="L117" s="7">
        <f t="shared" si="10"/>
        <v>6</v>
      </c>
      <c r="M117" s="7">
        <f t="shared" si="11"/>
        <v>0</v>
      </c>
      <c r="N117" s="7">
        <f t="shared" si="12"/>
        <v>7</v>
      </c>
      <c r="O117" s="7">
        <f t="shared" si="13"/>
        <v>8</v>
      </c>
      <c r="P117" s="7">
        <f t="shared" si="14"/>
        <v>7.5</v>
      </c>
      <c r="Q117" s="5">
        <f t="shared" si="15"/>
        <v>0</v>
      </c>
      <c r="R117" s="7">
        <f>IF(OR(L117="",Baseline!$C$10=""),"",ABS(L117-Baseline!$C$10))</f>
        <v>2.3333333333333321</v>
      </c>
    </row>
    <row r="118" spans="1:18" x14ac:dyDescent="0.3">
      <c r="A118" s="5">
        <v>17</v>
      </c>
      <c r="B118" s="5" t="s">
        <v>44</v>
      </c>
      <c r="C118" s="5" t="s">
        <v>37</v>
      </c>
      <c r="D118" s="5" t="s">
        <v>38</v>
      </c>
      <c r="E118" s="5" t="s">
        <v>39</v>
      </c>
      <c r="F118" s="6" t="s">
        <v>198</v>
      </c>
      <c r="G118" s="6">
        <v>1</v>
      </c>
      <c r="H118" s="6">
        <v>1</v>
      </c>
      <c r="I118" s="6">
        <v>2</v>
      </c>
      <c r="J118" s="5">
        <f t="shared" si="8"/>
        <v>3</v>
      </c>
      <c r="K118" s="5">
        <f t="shared" si="9"/>
        <v>3</v>
      </c>
      <c r="L118" s="7">
        <f t="shared" si="10"/>
        <v>1.3333333333333333</v>
      </c>
      <c r="M118" s="7">
        <f t="shared" si="11"/>
        <v>0</v>
      </c>
      <c r="N118" s="7">
        <f t="shared" si="12"/>
        <v>0</v>
      </c>
      <c r="O118" s="7">
        <f t="shared" si="13"/>
        <v>1</v>
      </c>
      <c r="P118" s="7">
        <f t="shared" si="14"/>
        <v>0.5</v>
      </c>
      <c r="Q118" s="5">
        <f t="shared" si="15"/>
        <v>0</v>
      </c>
      <c r="R118" s="7">
        <f>IF(OR(L118="",Baseline!$C$10=""),"",ABS(L118-Baseline!$C$10))</f>
        <v>6.9999999999999991</v>
      </c>
    </row>
    <row r="119" spans="1:18" x14ac:dyDescent="0.3">
      <c r="A119" s="5">
        <v>18</v>
      </c>
      <c r="B119" s="5" t="s">
        <v>44</v>
      </c>
      <c r="C119" s="5" t="s">
        <v>37</v>
      </c>
      <c r="D119" s="5" t="s">
        <v>38</v>
      </c>
      <c r="E119" s="5" t="s">
        <v>39</v>
      </c>
      <c r="F119" s="6" t="s">
        <v>199</v>
      </c>
      <c r="G119" s="6">
        <v>21</v>
      </c>
      <c r="H119" s="6">
        <v>1</v>
      </c>
      <c r="I119" s="6">
        <v>1</v>
      </c>
      <c r="J119" s="5">
        <f t="shared" si="8"/>
        <v>3</v>
      </c>
      <c r="K119" s="5">
        <f t="shared" si="9"/>
        <v>3</v>
      </c>
      <c r="L119" s="7">
        <f t="shared" si="10"/>
        <v>7.666666666666667</v>
      </c>
      <c r="M119" s="7">
        <f t="shared" si="11"/>
        <v>0</v>
      </c>
      <c r="N119" s="7">
        <f t="shared" si="12"/>
        <v>20</v>
      </c>
      <c r="O119" s="7">
        <f t="shared" si="13"/>
        <v>0</v>
      </c>
      <c r="P119" s="7">
        <f t="shared" si="14"/>
        <v>10</v>
      </c>
      <c r="Q119" s="5">
        <f t="shared" si="15"/>
        <v>0</v>
      </c>
      <c r="R119" s="7">
        <f>IF(OR(L119="",Baseline!$C$10=""),"",ABS(L119-Baseline!$C$10))</f>
        <v>0.66666666666666519</v>
      </c>
    </row>
    <row r="120" spans="1:18" x14ac:dyDescent="0.3">
      <c r="A120" s="5">
        <v>19</v>
      </c>
      <c r="B120" s="5" t="s">
        <v>44</v>
      </c>
      <c r="C120" s="5" t="s">
        <v>37</v>
      </c>
      <c r="D120" s="5" t="s">
        <v>38</v>
      </c>
      <c r="E120" s="5" t="s">
        <v>39</v>
      </c>
      <c r="F120" s="6" t="s">
        <v>200</v>
      </c>
      <c r="G120" s="6">
        <v>21</v>
      </c>
      <c r="H120" s="6">
        <v>6</v>
      </c>
      <c r="I120" s="6">
        <v>1</v>
      </c>
      <c r="J120" s="5">
        <f t="shared" si="8"/>
        <v>3</v>
      </c>
      <c r="K120" s="5">
        <f t="shared" si="9"/>
        <v>3</v>
      </c>
      <c r="L120" s="7">
        <f t="shared" si="10"/>
        <v>9.3333333333333339</v>
      </c>
      <c r="M120" s="7">
        <f t="shared" si="11"/>
        <v>0</v>
      </c>
      <c r="N120" s="7">
        <f t="shared" si="12"/>
        <v>15</v>
      </c>
      <c r="O120" s="7">
        <f t="shared" si="13"/>
        <v>5</v>
      </c>
      <c r="P120" s="7">
        <f t="shared" si="14"/>
        <v>10</v>
      </c>
      <c r="Q120" s="5">
        <f t="shared" si="15"/>
        <v>0</v>
      </c>
      <c r="R120" s="7">
        <f>IF(OR(L120="",Baseline!$C$10=""),"",ABS(L120-Baseline!$C$10))</f>
        <v>1.0000000000000018</v>
      </c>
    </row>
    <row r="121" spans="1:18" x14ac:dyDescent="0.3">
      <c r="A121" s="5">
        <v>20</v>
      </c>
      <c r="B121" s="5" t="s">
        <v>44</v>
      </c>
      <c r="C121" s="5" t="s">
        <v>37</v>
      </c>
      <c r="D121" s="5" t="s">
        <v>38</v>
      </c>
      <c r="E121" s="5" t="s">
        <v>39</v>
      </c>
      <c r="F121" s="6" t="s">
        <v>201</v>
      </c>
      <c r="G121" s="6">
        <v>1</v>
      </c>
      <c r="H121" s="6">
        <v>12</v>
      </c>
      <c r="I121" s="6">
        <v>13</v>
      </c>
      <c r="J121" s="5">
        <f t="shared" si="8"/>
        <v>3</v>
      </c>
      <c r="K121" s="5">
        <f t="shared" si="9"/>
        <v>3</v>
      </c>
      <c r="L121" s="7">
        <f t="shared" si="10"/>
        <v>8.6666666666666661</v>
      </c>
      <c r="M121" s="7">
        <f t="shared" si="11"/>
        <v>0</v>
      </c>
      <c r="N121" s="7">
        <f t="shared" si="12"/>
        <v>11</v>
      </c>
      <c r="O121" s="7">
        <f t="shared" si="13"/>
        <v>1</v>
      </c>
      <c r="P121" s="7">
        <f t="shared" si="14"/>
        <v>6</v>
      </c>
      <c r="Q121" s="5">
        <f t="shared" si="15"/>
        <v>0</v>
      </c>
      <c r="R121" s="7">
        <f>IF(OR(L121="",Baseline!$C$10=""),"",ABS(L121-Baseline!$C$10))</f>
        <v>0.33333333333333393</v>
      </c>
    </row>
    <row r="122" spans="1:18" x14ac:dyDescent="0.3">
      <c r="A122" s="5">
        <v>1</v>
      </c>
      <c r="B122" s="5" t="s">
        <v>45</v>
      </c>
      <c r="C122" s="5" t="s">
        <v>46</v>
      </c>
      <c r="D122" s="5" t="s">
        <v>38</v>
      </c>
      <c r="E122" s="5" t="s">
        <v>39</v>
      </c>
      <c r="F122" s="6" t="s">
        <v>202</v>
      </c>
      <c r="G122" s="6">
        <v>0.5</v>
      </c>
      <c r="H122" s="6">
        <v>0.5</v>
      </c>
      <c r="I122" s="6">
        <v>0.5</v>
      </c>
      <c r="J122" s="5">
        <f t="shared" si="8"/>
        <v>3</v>
      </c>
      <c r="K122" s="5">
        <f t="shared" si="9"/>
        <v>3</v>
      </c>
      <c r="L122" s="7">
        <f t="shared" si="10"/>
        <v>0.5</v>
      </c>
      <c r="M122" s="7">
        <f t="shared" si="11"/>
        <v>0</v>
      </c>
      <c r="N122" s="7">
        <f t="shared" si="12"/>
        <v>0</v>
      </c>
      <c r="O122" s="7">
        <f t="shared" si="13"/>
        <v>0</v>
      </c>
      <c r="P122" s="7">
        <f t="shared" si="14"/>
        <v>0</v>
      </c>
      <c r="Q122" s="5">
        <f t="shared" si="15"/>
        <v>0</v>
      </c>
      <c r="R122" s="7">
        <f>IF(OR(L122="",Baseline!$C$11=""),"",ABS(L122-Baseline!$C$11))</f>
        <v>0</v>
      </c>
    </row>
    <row r="123" spans="1:18" x14ac:dyDescent="0.3">
      <c r="A123" s="5">
        <v>2</v>
      </c>
      <c r="B123" s="5" t="s">
        <v>45</v>
      </c>
      <c r="C123" s="5" t="s">
        <v>46</v>
      </c>
      <c r="D123" s="5" t="s">
        <v>38</v>
      </c>
      <c r="E123" s="5" t="s">
        <v>39</v>
      </c>
      <c r="F123" s="6" t="s">
        <v>203</v>
      </c>
      <c r="G123" s="6">
        <v>0.5</v>
      </c>
      <c r="H123" s="6">
        <v>0.5</v>
      </c>
      <c r="I123" s="6">
        <v>0.5</v>
      </c>
      <c r="J123" s="5">
        <f t="shared" si="8"/>
        <v>3</v>
      </c>
      <c r="K123" s="5">
        <f t="shared" si="9"/>
        <v>3</v>
      </c>
      <c r="L123" s="7">
        <f t="shared" si="10"/>
        <v>0.5</v>
      </c>
      <c r="M123" s="7">
        <f t="shared" si="11"/>
        <v>0</v>
      </c>
      <c r="N123" s="7">
        <f t="shared" si="12"/>
        <v>0</v>
      </c>
      <c r="O123" s="7">
        <f t="shared" si="13"/>
        <v>0</v>
      </c>
      <c r="P123" s="7">
        <f t="shared" si="14"/>
        <v>0</v>
      </c>
      <c r="Q123" s="5">
        <f t="shared" si="15"/>
        <v>0</v>
      </c>
      <c r="R123" s="7">
        <f>IF(OR(L123="",Baseline!$C$11=""),"",ABS(L123-Baseline!$C$11))</f>
        <v>0</v>
      </c>
    </row>
    <row r="124" spans="1:18" x14ac:dyDescent="0.3">
      <c r="A124" s="5">
        <v>3</v>
      </c>
      <c r="B124" s="5" t="s">
        <v>45</v>
      </c>
      <c r="C124" s="5" t="s">
        <v>46</v>
      </c>
      <c r="D124" s="5" t="s">
        <v>38</v>
      </c>
      <c r="E124" s="5" t="s">
        <v>39</v>
      </c>
      <c r="F124" s="6" t="s">
        <v>204</v>
      </c>
      <c r="G124" s="6">
        <v>0.5</v>
      </c>
      <c r="H124" s="6">
        <v>0.5</v>
      </c>
      <c r="I124" s="6">
        <v>0.5</v>
      </c>
      <c r="J124" s="5">
        <f t="shared" si="8"/>
        <v>3</v>
      </c>
      <c r="K124" s="5">
        <f t="shared" si="9"/>
        <v>3</v>
      </c>
      <c r="L124" s="7">
        <f t="shared" si="10"/>
        <v>0.5</v>
      </c>
      <c r="M124" s="7">
        <f t="shared" si="11"/>
        <v>0</v>
      </c>
      <c r="N124" s="7">
        <f t="shared" si="12"/>
        <v>0</v>
      </c>
      <c r="O124" s="7">
        <f t="shared" si="13"/>
        <v>0</v>
      </c>
      <c r="P124" s="7">
        <f t="shared" si="14"/>
        <v>0</v>
      </c>
      <c r="Q124" s="5">
        <f t="shared" si="15"/>
        <v>0</v>
      </c>
      <c r="R124" s="7">
        <f>IF(OR(L124="",Baseline!$C$11=""),"",ABS(L124-Baseline!$C$11))</f>
        <v>0</v>
      </c>
    </row>
    <row r="125" spans="1:18" x14ac:dyDescent="0.3">
      <c r="A125" s="5">
        <v>4</v>
      </c>
      <c r="B125" s="5" t="s">
        <v>45</v>
      </c>
      <c r="C125" s="5" t="s">
        <v>46</v>
      </c>
      <c r="D125" s="5" t="s">
        <v>38</v>
      </c>
      <c r="E125" s="5" t="s">
        <v>39</v>
      </c>
      <c r="F125" s="6" t="s">
        <v>205</v>
      </c>
      <c r="G125" s="6">
        <v>0.5</v>
      </c>
      <c r="H125" s="6">
        <v>14</v>
      </c>
      <c r="I125" s="6">
        <v>0.5</v>
      </c>
      <c r="J125" s="5">
        <f t="shared" si="8"/>
        <v>3</v>
      </c>
      <c r="K125" s="5">
        <f t="shared" si="9"/>
        <v>3</v>
      </c>
      <c r="L125" s="7">
        <f t="shared" si="10"/>
        <v>5</v>
      </c>
      <c r="M125" s="7">
        <f t="shared" si="11"/>
        <v>0</v>
      </c>
      <c r="N125" s="7">
        <f t="shared" si="12"/>
        <v>13.5</v>
      </c>
      <c r="O125" s="7">
        <f t="shared" si="13"/>
        <v>13.5</v>
      </c>
      <c r="P125" s="7">
        <f t="shared" si="14"/>
        <v>13.5</v>
      </c>
      <c r="Q125" s="5">
        <f t="shared" si="15"/>
        <v>0</v>
      </c>
      <c r="R125" s="7">
        <f>IF(OR(L125="",Baseline!$C$11=""),"",ABS(L125-Baseline!$C$11))</f>
        <v>4.5</v>
      </c>
    </row>
    <row r="126" spans="1:18" x14ac:dyDescent="0.3">
      <c r="A126" s="5">
        <v>5</v>
      </c>
      <c r="B126" s="5" t="s">
        <v>45</v>
      </c>
      <c r="C126" s="5" t="s">
        <v>46</v>
      </c>
      <c r="D126" s="5" t="s">
        <v>38</v>
      </c>
      <c r="E126" s="5" t="s">
        <v>39</v>
      </c>
      <c r="F126" s="6" t="s">
        <v>206</v>
      </c>
      <c r="G126" s="6">
        <v>0.5</v>
      </c>
      <c r="H126" s="6">
        <v>0.5</v>
      </c>
      <c r="I126" s="6">
        <v>0.5</v>
      </c>
      <c r="J126" s="5">
        <f t="shared" si="8"/>
        <v>3</v>
      </c>
      <c r="K126" s="5">
        <f t="shared" si="9"/>
        <v>3</v>
      </c>
      <c r="L126" s="7">
        <f t="shared" si="10"/>
        <v>0.5</v>
      </c>
      <c r="M126" s="7">
        <f t="shared" si="11"/>
        <v>0</v>
      </c>
      <c r="N126" s="7">
        <f t="shared" si="12"/>
        <v>0</v>
      </c>
      <c r="O126" s="7">
        <f t="shared" si="13"/>
        <v>0</v>
      </c>
      <c r="P126" s="7">
        <f t="shared" si="14"/>
        <v>0</v>
      </c>
      <c r="Q126" s="5">
        <f t="shared" si="15"/>
        <v>0</v>
      </c>
      <c r="R126" s="7">
        <f>IF(OR(L126="",Baseline!$C$11=""),"",ABS(L126-Baseline!$C$11))</f>
        <v>0</v>
      </c>
    </row>
    <row r="127" spans="1:18" x14ac:dyDescent="0.3">
      <c r="A127" s="5">
        <v>6</v>
      </c>
      <c r="B127" s="5" t="s">
        <v>45</v>
      </c>
      <c r="C127" s="5" t="s">
        <v>46</v>
      </c>
      <c r="D127" s="5" t="s">
        <v>38</v>
      </c>
      <c r="E127" s="5" t="s">
        <v>39</v>
      </c>
      <c r="F127" s="6" t="s">
        <v>207</v>
      </c>
      <c r="G127" s="6">
        <v>0.5</v>
      </c>
      <c r="H127" s="6">
        <v>1</v>
      </c>
      <c r="I127" s="6">
        <v>0.5</v>
      </c>
      <c r="J127" s="5">
        <f t="shared" si="8"/>
        <v>3</v>
      </c>
      <c r="K127" s="5">
        <f t="shared" si="9"/>
        <v>3</v>
      </c>
      <c r="L127" s="7">
        <f t="shared" si="10"/>
        <v>0.66666666666666663</v>
      </c>
      <c r="M127" s="7">
        <f t="shared" si="11"/>
        <v>0</v>
      </c>
      <c r="N127" s="7">
        <f t="shared" si="12"/>
        <v>0.5</v>
      </c>
      <c r="O127" s="7">
        <f t="shared" si="13"/>
        <v>0.5</v>
      </c>
      <c r="P127" s="7">
        <f t="shared" si="14"/>
        <v>0.5</v>
      </c>
      <c r="Q127" s="5">
        <f t="shared" si="15"/>
        <v>0</v>
      </c>
      <c r="R127" s="7">
        <f>IF(OR(L127="",Baseline!$C$11=""),"",ABS(L127-Baseline!$C$11))</f>
        <v>0.16666666666666663</v>
      </c>
    </row>
    <row r="128" spans="1:18" x14ac:dyDescent="0.3">
      <c r="A128" s="5">
        <v>7</v>
      </c>
      <c r="B128" s="5" t="s">
        <v>45</v>
      </c>
      <c r="C128" s="5" t="s">
        <v>46</v>
      </c>
      <c r="D128" s="5" t="s">
        <v>38</v>
      </c>
      <c r="E128" s="5" t="s">
        <v>39</v>
      </c>
      <c r="F128" s="6" t="s">
        <v>208</v>
      </c>
      <c r="G128" s="6">
        <v>0.5</v>
      </c>
      <c r="H128" s="6">
        <v>0.5</v>
      </c>
      <c r="I128" s="6">
        <v>0.5</v>
      </c>
      <c r="J128" s="5">
        <f t="shared" si="8"/>
        <v>3</v>
      </c>
      <c r="K128" s="5">
        <f t="shared" si="9"/>
        <v>3</v>
      </c>
      <c r="L128" s="7">
        <f t="shared" si="10"/>
        <v>0.5</v>
      </c>
      <c r="M128" s="7">
        <f t="shared" si="11"/>
        <v>0</v>
      </c>
      <c r="N128" s="7">
        <f t="shared" si="12"/>
        <v>0</v>
      </c>
      <c r="O128" s="7">
        <f t="shared" si="13"/>
        <v>0</v>
      </c>
      <c r="P128" s="7">
        <f t="shared" si="14"/>
        <v>0</v>
      </c>
      <c r="Q128" s="5">
        <f t="shared" si="15"/>
        <v>0</v>
      </c>
      <c r="R128" s="7">
        <f>IF(OR(L128="",Baseline!$C$11=""),"",ABS(L128-Baseline!$C$11))</f>
        <v>0</v>
      </c>
    </row>
    <row r="129" spans="1:18" x14ac:dyDescent="0.3">
      <c r="A129" s="5">
        <v>8</v>
      </c>
      <c r="B129" s="5" t="s">
        <v>45</v>
      </c>
      <c r="C129" s="5" t="s">
        <v>46</v>
      </c>
      <c r="D129" s="5" t="s">
        <v>38</v>
      </c>
      <c r="E129" s="5" t="s">
        <v>39</v>
      </c>
      <c r="F129" s="6" t="s">
        <v>209</v>
      </c>
      <c r="G129" s="6">
        <v>0.5</v>
      </c>
      <c r="H129" s="6">
        <v>0.5</v>
      </c>
      <c r="I129" s="6">
        <v>0.5</v>
      </c>
      <c r="J129" s="5">
        <f t="shared" si="8"/>
        <v>3</v>
      </c>
      <c r="K129" s="5">
        <f t="shared" si="9"/>
        <v>3</v>
      </c>
      <c r="L129" s="7">
        <f t="shared" si="10"/>
        <v>0.5</v>
      </c>
      <c r="M129" s="7">
        <f t="shared" si="11"/>
        <v>0</v>
      </c>
      <c r="N129" s="7">
        <f t="shared" si="12"/>
        <v>0</v>
      </c>
      <c r="O129" s="7">
        <f t="shared" si="13"/>
        <v>0</v>
      </c>
      <c r="P129" s="7">
        <f t="shared" si="14"/>
        <v>0</v>
      </c>
      <c r="Q129" s="5">
        <f t="shared" si="15"/>
        <v>0</v>
      </c>
      <c r="R129" s="7">
        <f>IF(OR(L129="",Baseline!$C$11=""),"",ABS(L129-Baseline!$C$11))</f>
        <v>0</v>
      </c>
    </row>
    <row r="130" spans="1:18" x14ac:dyDescent="0.3">
      <c r="A130" s="5">
        <v>9</v>
      </c>
      <c r="B130" s="5" t="s">
        <v>45</v>
      </c>
      <c r="C130" s="5" t="s">
        <v>46</v>
      </c>
      <c r="D130" s="5" t="s">
        <v>38</v>
      </c>
      <c r="E130" s="5" t="s">
        <v>39</v>
      </c>
      <c r="F130" s="6" t="s">
        <v>210</v>
      </c>
      <c r="G130" s="6">
        <v>0.5</v>
      </c>
      <c r="H130" s="6">
        <v>1</v>
      </c>
      <c r="I130" s="6">
        <v>0.5</v>
      </c>
      <c r="J130" s="5">
        <f t="shared" ref="J130:J193" si="16">IF(COUNTA(G130:I130)=0,"",3)</f>
        <v>3</v>
      </c>
      <c r="K130" s="5">
        <f t="shared" ref="K130:K193" si="17">IF(J130="","",COUNT(G130:I130))</f>
        <v>3</v>
      </c>
      <c r="L130" s="7">
        <f t="shared" ref="L130:L193" si="18">IF(OR(K130="",K130=0),"",AVERAGE(G130:I130))</f>
        <v>0.66666666666666663</v>
      </c>
      <c r="M130" s="7">
        <f t="shared" ref="M130:M193" si="19">IF(K130="","",(J130-K130)/J130*100)</f>
        <v>0</v>
      </c>
      <c r="N130" s="7">
        <f t="shared" ref="N130:N193" si="20">IF(AND(ISNUMBER(G130),ISNUMBER(H130)),ABS(H130-G130),"")</f>
        <v>0.5</v>
      </c>
      <c r="O130" s="7">
        <f t="shared" ref="O130:O193" si="21">IF(AND(ISNUMBER(H130),ISNUMBER(I130)),ABS(I130-H130),"")</f>
        <v>0.5</v>
      </c>
      <c r="P130" s="7">
        <f t="shared" ref="P130:P193" si="22">IF(K130="","",IFERROR(AVERAGE(N130,O130),""))</f>
        <v>0.5</v>
      </c>
      <c r="Q130" s="5">
        <f t="shared" ref="Q130:Q193" si="23">IF(K130="","",IF(K130=0,1,0))</f>
        <v>0</v>
      </c>
      <c r="R130" s="7">
        <f>IF(OR(L130="",Baseline!$C$11=""),"",ABS(L130-Baseline!$C$11))</f>
        <v>0.16666666666666663</v>
      </c>
    </row>
    <row r="131" spans="1:18" x14ac:dyDescent="0.3">
      <c r="A131" s="5">
        <v>10</v>
      </c>
      <c r="B131" s="5" t="s">
        <v>45</v>
      </c>
      <c r="C131" s="5" t="s">
        <v>46</v>
      </c>
      <c r="D131" s="5" t="s">
        <v>38</v>
      </c>
      <c r="E131" s="5" t="s">
        <v>39</v>
      </c>
      <c r="F131" s="6" t="s">
        <v>211</v>
      </c>
      <c r="G131" s="6">
        <v>0.5</v>
      </c>
      <c r="H131" s="6">
        <v>0.5</v>
      </c>
      <c r="I131" s="6">
        <v>2</v>
      </c>
      <c r="J131" s="5">
        <f t="shared" si="16"/>
        <v>3</v>
      </c>
      <c r="K131" s="5">
        <f t="shared" si="17"/>
        <v>3</v>
      </c>
      <c r="L131" s="7">
        <f t="shared" si="18"/>
        <v>1</v>
      </c>
      <c r="M131" s="7">
        <f t="shared" si="19"/>
        <v>0</v>
      </c>
      <c r="N131" s="7">
        <f t="shared" si="20"/>
        <v>0</v>
      </c>
      <c r="O131" s="7">
        <f t="shared" si="21"/>
        <v>1.5</v>
      </c>
      <c r="P131" s="7">
        <f t="shared" si="22"/>
        <v>0.75</v>
      </c>
      <c r="Q131" s="5">
        <f t="shared" si="23"/>
        <v>0</v>
      </c>
      <c r="R131" s="7">
        <f>IF(OR(L131="",Baseline!$C$11=""),"",ABS(L131-Baseline!$C$11))</f>
        <v>0.5</v>
      </c>
    </row>
    <row r="132" spans="1:18" x14ac:dyDescent="0.3">
      <c r="A132" s="5">
        <v>11</v>
      </c>
      <c r="B132" s="5" t="s">
        <v>45</v>
      </c>
      <c r="C132" s="5" t="s">
        <v>46</v>
      </c>
      <c r="D132" s="5" t="s">
        <v>38</v>
      </c>
      <c r="E132" s="5" t="s">
        <v>39</v>
      </c>
      <c r="F132" s="6" t="s">
        <v>212</v>
      </c>
      <c r="G132" s="6">
        <v>0.5</v>
      </c>
      <c r="H132" s="6">
        <v>1</v>
      </c>
      <c r="I132" s="6">
        <v>0.5</v>
      </c>
      <c r="J132" s="5">
        <f t="shared" si="16"/>
        <v>3</v>
      </c>
      <c r="K132" s="5">
        <f t="shared" si="17"/>
        <v>3</v>
      </c>
      <c r="L132" s="7">
        <f t="shared" si="18"/>
        <v>0.66666666666666663</v>
      </c>
      <c r="M132" s="7">
        <f t="shared" si="19"/>
        <v>0</v>
      </c>
      <c r="N132" s="7">
        <f t="shared" si="20"/>
        <v>0.5</v>
      </c>
      <c r="O132" s="7">
        <f t="shared" si="21"/>
        <v>0.5</v>
      </c>
      <c r="P132" s="7">
        <f t="shared" si="22"/>
        <v>0.5</v>
      </c>
      <c r="Q132" s="5">
        <f t="shared" si="23"/>
        <v>0</v>
      </c>
      <c r="R132" s="7">
        <f>IF(OR(L132="",Baseline!$C$11=""),"",ABS(L132-Baseline!$C$11))</f>
        <v>0.16666666666666663</v>
      </c>
    </row>
    <row r="133" spans="1:18" x14ac:dyDescent="0.3">
      <c r="A133" s="5">
        <v>12</v>
      </c>
      <c r="B133" s="5" t="s">
        <v>45</v>
      </c>
      <c r="C133" s="5" t="s">
        <v>46</v>
      </c>
      <c r="D133" s="5" t="s">
        <v>38</v>
      </c>
      <c r="E133" s="5" t="s">
        <v>39</v>
      </c>
      <c r="F133" s="6" t="s">
        <v>213</v>
      </c>
      <c r="G133" s="6">
        <v>0.5</v>
      </c>
      <c r="H133" s="6">
        <v>0.5</v>
      </c>
      <c r="I133" s="6">
        <v>0.5</v>
      </c>
      <c r="J133" s="5">
        <f t="shared" si="16"/>
        <v>3</v>
      </c>
      <c r="K133" s="5">
        <f t="shared" si="17"/>
        <v>3</v>
      </c>
      <c r="L133" s="7">
        <f t="shared" si="18"/>
        <v>0.5</v>
      </c>
      <c r="M133" s="7">
        <f t="shared" si="19"/>
        <v>0</v>
      </c>
      <c r="N133" s="7">
        <f t="shared" si="20"/>
        <v>0</v>
      </c>
      <c r="O133" s="7">
        <f t="shared" si="21"/>
        <v>0</v>
      </c>
      <c r="P133" s="7">
        <f t="shared" si="22"/>
        <v>0</v>
      </c>
      <c r="Q133" s="5">
        <f t="shared" si="23"/>
        <v>0</v>
      </c>
      <c r="R133" s="7">
        <f>IF(OR(L133="",Baseline!$C$11=""),"",ABS(L133-Baseline!$C$11))</f>
        <v>0</v>
      </c>
    </row>
    <row r="134" spans="1:18" x14ac:dyDescent="0.3">
      <c r="A134" s="5">
        <v>13</v>
      </c>
      <c r="B134" s="5" t="s">
        <v>45</v>
      </c>
      <c r="C134" s="5" t="s">
        <v>46</v>
      </c>
      <c r="D134" s="5" t="s">
        <v>38</v>
      </c>
      <c r="E134" s="5" t="s">
        <v>39</v>
      </c>
      <c r="F134" s="6" t="s">
        <v>214</v>
      </c>
      <c r="G134" s="6">
        <v>0.5</v>
      </c>
      <c r="H134" s="6">
        <v>1</v>
      </c>
      <c r="I134" s="6">
        <v>0.5</v>
      </c>
      <c r="J134" s="5">
        <f t="shared" si="16"/>
        <v>3</v>
      </c>
      <c r="K134" s="5">
        <f t="shared" si="17"/>
        <v>3</v>
      </c>
      <c r="L134" s="7">
        <f t="shared" si="18"/>
        <v>0.66666666666666663</v>
      </c>
      <c r="M134" s="7">
        <f t="shared" si="19"/>
        <v>0</v>
      </c>
      <c r="N134" s="7">
        <f t="shared" si="20"/>
        <v>0.5</v>
      </c>
      <c r="O134" s="7">
        <f t="shared" si="21"/>
        <v>0.5</v>
      </c>
      <c r="P134" s="7">
        <f t="shared" si="22"/>
        <v>0.5</v>
      </c>
      <c r="Q134" s="5">
        <f t="shared" si="23"/>
        <v>0</v>
      </c>
      <c r="R134" s="7">
        <f>IF(OR(L134="",Baseline!$C$11=""),"",ABS(L134-Baseline!$C$11))</f>
        <v>0.16666666666666663</v>
      </c>
    </row>
    <row r="135" spans="1:18" x14ac:dyDescent="0.3">
      <c r="A135" s="5">
        <v>14</v>
      </c>
      <c r="B135" s="5" t="s">
        <v>45</v>
      </c>
      <c r="C135" s="5" t="s">
        <v>46</v>
      </c>
      <c r="D135" s="5" t="s">
        <v>38</v>
      </c>
      <c r="E135" s="5" t="s">
        <v>39</v>
      </c>
      <c r="F135" s="6" t="s">
        <v>215</v>
      </c>
      <c r="G135" s="6">
        <v>0.5</v>
      </c>
      <c r="H135" s="6">
        <v>0.5</v>
      </c>
      <c r="I135" s="6">
        <v>12</v>
      </c>
      <c r="J135" s="5">
        <f t="shared" si="16"/>
        <v>3</v>
      </c>
      <c r="K135" s="5">
        <f t="shared" si="17"/>
        <v>3</v>
      </c>
      <c r="L135" s="7">
        <f t="shared" si="18"/>
        <v>4.333333333333333</v>
      </c>
      <c r="M135" s="7">
        <f t="shared" si="19"/>
        <v>0</v>
      </c>
      <c r="N135" s="7">
        <f t="shared" si="20"/>
        <v>0</v>
      </c>
      <c r="O135" s="7">
        <f t="shared" si="21"/>
        <v>11.5</v>
      </c>
      <c r="P135" s="7">
        <f t="shared" si="22"/>
        <v>5.75</v>
      </c>
      <c r="Q135" s="5">
        <f t="shared" si="23"/>
        <v>0</v>
      </c>
      <c r="R135" s="7">
        <f>IF(OR(L135="",Baseline!$C$11=""),"",ABS(L135-Baseline!$C$11))</f>
        <v>3.833333333333333</v>
      </c>
    </row>
    <row r="136" spans="1:18" x14ac:dyDescent="0.3">
      <c r="A136" s="5">
        <v>15</v>
      </c>
      <c r="B136" s="5" t="s">
        <v>45</v>
      </c>
      <c r="C136" s="5" t="s">
        <v>46</v>
      </c>
      <c r="D136" s="5" t="s">
        <v>38</v>
      </c>
      <c r="E136" s="5" t="s">
        <v>39</v>
      </c>
      <c r="F136" s="6" t="s">
        <v>216</v>
      </c>
      <c r="G136" s="6">
        <v>0.5</v>
      </c>
      <c r="H136" s="6">
        <v>0.5</v>
      </c>
      <c r="I136" s="6">
        <v>0.5</v>
      </c>
      <c r="J136" s="5">
        <f t="shared" si="16"/>
        <v>3</v>
      </c>
      <c r="K136" s="5">
        <f t="shared" si="17"/>
        <v>3</v>
      </c>
      <c r="L136" s="7">
        <f t="shared" si="18"/>
        <v>0.5</v>
      </c>
      <c r="M136" s="7">
        <f t="shared" si="19"/>
        <v>0</v>
      </c>
      <c r="N136" s="7">
        <f t="shared" si="20"/>
        <v>0</v>
      </c>
      <c r="O136" s="7">
        <f t="shared" si="21"/>
        <v>0</v>
      </c>
      <c r="P136" s="7">
        <f t="shared" si="22"/>
        <v>0</v>
      </c>
      <c r="Q136" s="5">
        <f t="shared" si="23"/>
        <v>0</v>
      </c>
      <c r="R136" s="7">
        <f>IF(OR(L136="",Baseline!$C$11=""),"",ABS(L136-Baseline!$C$11))</f>
        <v>0</v>
      </c>
    </row>
    <row r="137" spans="1:18" x14ac:dyDescent="0.3">
      <c r="A137" s="5">
        <v>16</v>
      </c>
      <c r="B137" s="5" t="s">
        <v>45</v>
      </c>
      <c r="C137" s="5" t="s">
        <v>46</v>
      </c>
      <c r="D137" s="5" t="s">
        <v>38</v>
      </c>
      <c r="E137" s="5" t="s">
        <v>39</v>
      </c>
      <c r="F137" s="6" t="s">
        <v>217</v>
      </c>
      <c r="G137" s="6">
        <v>0.5</v>
      </c>
      <c r="H137" s="6">
        <v>0.5</v>
      </c>
      <c r="I137" s="6">
        <v>1</v>
      </c>
      <c r="J137" s="5">
        <f t="shared" si="16"/>
        <v>3</v>
      </c>
      <c r="K137" s="5">
        <f t="shared" si="17"/>
        <v>3</v>
      </c>
      <c r="L137" s="7">
        <f t="shared" si="18"/>
        <v>0.66666666666666663</v>
      </c>
      <c r="M137" s="7">
        <f t="shared" si="19"/>
        <v>0</v>
      </c>
      <c r="N137" s="7">
        <f t="shared" si="20"/>
        <v>0</v>
      </c>
      <c r="O137" s="7">
        <f t="shared" si="21"/>
        <v>0.5</v>
      </c>
      <c r="P137" s="7">
        <f t="shared" si="22"/>
        <v>0.25</v>
      </c>
      <c r="Q137" s="5">
        <f t="shared" si="23"/>
        <v>0</v>
      </c>
      <c r="R137" s="7">
        <f>IF(OR(L137="",Baseline!$C$11=""),"",ABS(L137-Baseline!$C$11))</f>
        <v>0.16666666666666663</v>
      </c>
    </row>
    <row r="138" spans="1:18" x14ac:dyDescent="0.3">
      <c r="A138" s="5">
        <v>17</v>
      </c>
      <c r="B138" s="5" t="s">
        <v>45</v>
      </c>
      <c r="C138" s="5" t="s">
        <v>46</v>
      </c>
      <c r="D138" s="5" t="s">
        <v>38</v>
      </c>
      <c r="E138" s="5" t="s">
        <v>39</v>
      </c>
      <c r="F138" s="6" t="s">
        <v>218</v>
      </c>
      <c r="G138" s="6">
        <v>0.5</v>
      </c>
      <c r="H138" s="6">
        <v>0.5</v>
      </c>
      <c r="I138" s="6">
        <v>0.5</v>
      </c>
      <c r="J138" s="5">
        <f t="shared" si="16"/>
        <v>3</v>
      </c>
      <c r="K138" s="5">
        <f t="shared" si="17"/>
        <v>3</v>
      </c>
      <c r="L138" s="7">
        <f t="shared" si="18"/>
        <v>0.5</v>
      </c>
      <c r="M138" s="7">
        <f t="shared" si="19"/>
        <v>0</v>
      </c>
      <c r="N138" s="7">
        <f t="shared" si="20"/>
        <v>0</v>
      </c>
      <c r="O138" s="7">
        <f t="shared" si="21"/>
        <v>0</v>
      </c>
      <c r="P138" s="7">
        <f t="shared" si="22"/>
        <v>0</v>
      </c>
      <c r="Q138" s="5">
        <f t="shared" si="23"/>
        <v>0</v>
      </c>
      <c r="R138" s="7">
        <f>IF(OR(L138="",Baseline!$C$11=""),"",ABS(L138-Baseline!$C$11))</f>
        <v>0</v>
      </c>
    </row>
    <row r="139" spans="1:18" x14ac:dyDescent="0.3">
      <c r="A139" s="5">
        <v>18</v>
      </c>
      <c r="B139" s="5" t="s">
        <v>45</v>
      </c>
      <c r="C139" s="5" t="s">
        <v>46</v>
      </c>
      <c r="D139" s="5" t="s">
        <v>38</v>
      </c>
      <c r="E139" s="5" t="s">
        <v>39</v>
      </c>
      <c r="F139" s="6" t="s">
        <v>219</v>
      </c>
      <c r="G139" s="6">
        <v>0.5</v>
      </c>
      <c r="H139" s="6">
        <v>0.5</v>
      </c>
      <c r="I139" s="6">
        <v>0.5</v>
      </c>
      <c r="J139" s="5">
        <f t="shared" si="16"/>
        <v>3</v>
      </c>
      <c r="K139" s="5">
        <f t="shared" si="17"/>
        <v>3</v>
      </c>
      <c r="L139" s="7">
        <f t="shared" si="18"/>
        <v>0.5</v>
      </c>
      <c r="M139" s="7">
        <f t="shared" si="19"/>
        <v>0</v>
      </c>
      <c r="N139" s="7">
        <f t="shared" si="20"/>
        <v>0</v>
      </c>
      <c r="O139" s="7">
        <f t="shared" si="21"/>
        <v>0</v>
      </c>
      <c r="P139" s="7">
        <f t="shared" si="22"/>
        <v>0</v>
      </c>
      <c r="Q139" s="5">
        <f t="shared" si="23"/>
        <v>0</v>
      </c>
      <c r="R139" s="7">
        <f>IF(OR(L139="",Baseline!$C$11=""),"",ABS(L139-Baseline!$C$11))</f>
        <v>0</v>
      </c>
    </row>
    <row r="140" spans="1:18" x14ac:dyDescent="0.3">
      <c r="A140" s="5">
        <v>19</v>
      </c>
      <c r="B140" s="5" t="s">
        <v>45</v>
      </c>
      <c r="C140" s="5" t="s">
        <v>46</v>
      </c>
      <c r="D140" s="5" t="s">
        <v>38</v>
      </c>
      <c r="E140" s="5" t="s">
        <v>39</v>
      </c>
      <c r="F140" s="6" t="s">
        <v>220</v>
      </c>
      <c r="G140" s="6">
        <v>0.5</v>
      </c>
      <c r="H140" s="6">
        <v>0.5</v>
      </c>
      <c r="I140" s="6">
        <v>1</v>
      </c>
      <c r="J140" s="5">
        <f t="shared" si="16"/>
        <v>3</v>
      </c>
      <c r="K140" s="5">
        <f t="shared" si="17"/>
        <v>3</v>
      </c>
      <c r="L140" s="7">
        <f t="shared" si="18"/>
        <v>0.66666666666666663</v>
      </c>
      <c r="M140" s="7">
        <f t="shared" si="19"/>
        <v>0</v>
      </c>
      <c r="N140" s="7">
        <f t="shared" si="20"/>
        <v>0</v>
      </c>
      <c r="O140" s="7">
        <f t="shared" si="21"/>
        <v>0.5</v>
      </c>
      <c r="P140" s="7">
        <f t="shared" si="22"/>
        <v>0.25</v>
      </c>
      <c r="Q140" s="5">
        <f t="shared" si="23"/>
        <v>0</v>
      </c>
      <c r="R140" s="7">
        <f>IF(OR(L140="",Baseline!$C$11=""),"",ABS(L140-Baseline!$C$11))</f>
        <v>0.16666666666666663</v>
      </c>
    </row>
    <row r="141" spans="1:18" x14ac:dyDescent="0.3">
      <c r="A141" s="5">
        <v>20</v>
      </c>
      <c r="B141" s="5" t="s">
        <v>45</v>
      </c>
      <c r="C141" s="5" t="s">
        <v>46</v>
      </c>
      <c r="D141" s="5" t="s">
        <v>38</v>
      </c>
      <c r="E141" s="5" t="s">
        <v>39</v>
      </c>
      <c r="F141" s="6" t="s">
        <v>221</v>
      </c>
      <c r="G141" s="6">
        <v>0.5</v>
      </c>
      <c r="H141" s="6">
        <v>0.5</v>
      </c>
      <c r="I141" s="6">
        <v>0.5</v>
      </c>
      <c r="J141" s="5">
        <f t="shared" si="16"/>
        <v>3</v>
      </c>
      <c r="K141" s="5">
        <f t="shared" si="17"/>
        <v>3</v>
      </c>
      <c r="L141" s="7">
        <f t="shared" si="18"/>
        <v>0.5</v>
      </c>
      <c r="M141" s="7">
        <f t="shared" si="19"/>
        <v>0</v>
      </c>
      <c r="N141" s="7">
        <f t="shared" si="20"/>
        <v>0</v>
      </c>
      <c r="O141" s="7">
        <f t="shared" si="21"/>
        <v>0</v>
      </c>
      <c r="P141" s="7">
        <f t="shared" si="22"/>
        <v>0</v>
      </c>
      <c r="Q141" s="5">
        <f t="shared" si="23"/>
        <v>0</v>
      </c>
      <c r="R141" s="7">
        <f>IF(OR(L141="",Baseline!$C$11=""),"",ABS(L141-Baseline!$C$11))</f>
        <v>0</v>
      </c>
    </row>
    <row r="142" spans="1:18" x14ac:dyDescent="0.3">
      <c r="A142" s="5">
        <v>1</v>
      </c>
      <c r="B142" s="5" t="s">
        <v>47</v>
      </c>
      <c r="C142" s="5" t="s">
        <v>46</v>
      </c>
      <c r="D142" s="5" t="s">
        <v>38</v>
      </c>
      <c r="E142" s="5" t="s">
        <v>39</v>
      </c>
      <c r="F142" s="6" t="s">
        <v>301</v>
      </c>
      <c r="G142" s="6" t="s">
        <v>102</v>
      </c>
      <c r="H142" s="6">
        <v>0.5</v>
      </c>
      <c r="I142" s="6">
        <v>15</v>
      </c>
      <c r="J142" s="5">
        <f t="shared" si="16"/>
        <v>3</v>
      </c>
      <c r="K142" s="5">
        <f t="shared" si="17"/>
        <v>2</v>
      </c>
      <c r="L142" s="7">
        <f t="shared" si="18"/>
        <v>7.75</v>
      </c>
      <c r="M142" s="7">
        <f t="shared" si="19"/>
        <v>33.333333333333329</v>
      </c>
      <c r="N142" s="7" t="str">
        <f t="shared" si="20"/>
        <v/>
      </c>
      <c r="O142" s="7">
        <f t="shared" si="21"/>
        <v>14.5</v>
      </c>
      <c r="P142" s="7">
        <f t="shared" si="22"/>
        <v>14.5</v>
      </c>
      <c r="Q142" s="5">
        <f t="shared" si="23"/>
        <v>0</v>
      </c>
      <c r="R142" s="7">
        <f>IF(OR(L142="",Baseline!$C$12=""),"",ABS(L142-Baseline!$C$12))</f>
        <v>7.25</v>
      </c>
    </row>
    <row r="143" spans="1:18" x14ac:dyDescent="0.3">
      <c r="A143" s="5">
        <v>2</v>
      </c>
      <c r="B143" s="5" t="s">
        <v>47</v>
      </c>
      <c r="C143" s="5" t="s">
        <v>46</v>
      </c>
      <c r="D143" s="5" t="s">
        <v>38</v>
      </c>
      <c r="E143" s="5" t="s">
        <v>39</v>
      </c>
      <c r="F143" s="6" t="s">
        <v>302</v>
      </c>
      <c r="G143" s="6">
        <v>0.5</v>
      </c>
      <c r="H143" s="6">
        <v>0.5</v>
      </c>
      <c r="I143" s="6">
        <v>0.5</v>
      </c>
      <c r="J143" s="5">
        <f t="shared" si="16"/>
        <v>3</v>
      </c>
      <c r="K143" s="5">
        <f t="shared" si="17"/>
        <v>3</v>
      </c>
      <c r="L143" s="7">
        <f t="shared" si="18"/>
        <v>0.5</v>
      </c>
      <c r="M143" s="7">
        <f t="shared" si="19"/>
        <v>0</v>
      </c>
      <c r="N143" s="7">
        <f t="shared" si="20"/>
        <v>0</v>
      </c>
      <c r="O143" s="7">
        <f t="shared" si="21"/>
        <v>0</v>
      </c>
      <c r="P143" s="7">
        <f t="shared" si="22"/>
        <v>0</v>
      </c>
      <c r="Q143" s="5">
        <f t="shared" si="23"/>
        <v>0</v>
      </c>
      <c r="R143" s="7">
        <f>IF(OR(L143="",Baseline!$C$12=""),"",ABS(L143-Baseline!$C$12))</f>
        <v>0</v>
      </c>
    </row>
    <row r="144" spans="1:18" x14ac:dyDescent="0.3">
      <c r="A144" s="5">
        <v>3</v>
      </c>
      <c r="B144" s="5" t="s">
        <v>47</v>
      </c>
      <c r="C144" s="5" t="s">
        <v>46</v>
      </c>
      <c r="D144" s="5" t="s">
        <v>38</v>
      </c>
      <c r="E144" s="5" t="s">
        <v>39</v>
      </c>
      <c r="F144" s="6" t="s">
        <v>303</v>
      </c>
      <c r="G144" s="6">
        <v>0.5</v>
      </c>
      <c r="H144" s="6">
        <v>0.5</v>
      </c>
      <c r="I144" s="6">
        <v>0.5</v>
      </c>
      <c r="J144" s="5">
        <f t="shared" si="16"/>
        <v>3</v>
      </c>
      <c r="K144" s="5">
        <f t="shared" si="17"/>
        <v>3</v>
      </c>
      <c r="L144" s="7">
        <f t="shared" si="18"/>
        <v>0.5</v>
      </c>
      <c r="M144" s="7">
        <f t="shared" si="19"/>
        <v>0</v>
      </c>
      <c r="N144" s="7">
        <f t="shared" si="20"/>
        <v>0</v>
      </c>
      <c r="O144" s="7">
        <f t="shared" si="21"/>
        <v>0</v>
      </c>
      <c r="P144" s="7">
        <f t="shared" si="22"/>
        <v>0</v>
      </c>
      <c r="Q144" s="5">
        <f t="shared" si="23"/>
        <v>0</v>
      </c>
      <c r="R144" s="7">
        <f>IF(OR(L144="",Baseline!$C$12=""),"",ABS(L144-Baseline!$C$12))</f>
        <v>0</v>
      </c>
    </row>
    <row r="145" spans="1:18" x14ac:dyDescent="0.3">
      <c r="A145" s="5">
        <v>4</v>
      </c>
      <c r="B145" s="5" t="s">
        <v>47</v>
      </c>
      <c r="C145" s="5" t="s">
        <v>46</v>
      </c>
      <c r="D145" s="5" t="s">
        <v>38</v>
      </c>
      <c r="E145" s="5" t="s">
        <v>39</v>
      </c>
      <c r="F145" s="6" t="s">
        <v>304</v>
      </c>
      <c r="G145" s="6">
        <v>0.5</v>
      </c>
      <c r="H145" s="6">
        <v>0.5</v>
      </c>
      <c r="I145" s="6">
        <v>0.5</v>
      </c>
      <c r="J145" s="5">
        <f t="shared" si="16"/>
        <v>3</v>
      </c>
      <c r="K145" s="5">
        <f t="shared" si="17"/>
        <v>3</v>
      </c>
      <c r="L145" s="7">
        <f t="shared" si="18"/>
        <v>0.5</v>
      </c>
      <c r="M145" s="7">
        <f t="shared" si="19"/>
        <v>0</v>
      </c>
      <c r="N145" s="7">
        <f t="shared" si="20"/>
        <v>0</v>
      </c>
      <c r="O145" s="7">
        <f t="shared" si="21"/>
        <v>0</v>
      </c>
      <c r="P145" s="7">
        <f t="shared" si="22"/>
        <v>0</v>
      </c>
      <c r="Q145" s="5">
        <f t="shared" si="23"/>
        <v>0</v>
      </c>
      <c r="R145" s="7">
        <f>IF(OR(L145="",Baseline!$C$12=""),"",ABS(L145-Baseline!$C$12))</f>
        <v>0</v>
      </c>
    </row>
    <row r="146" spans="1:18" x14ac:dyDescent="0.3">
      <c r="A146" s="5">
        <v>5</v>
      </c>
      <c r="B146" s="5" t="s">
        <v>47</v>
      </c>
      <c r="C146" s="5" t="s">
        <v>46</v>
      </c>
      <c r="D146" s="5" t="s">
        <v>38</v>
      </c>
      <c r="E146" s="5" t="s">
        <v>39</v>
      </c>
      <c r="F146" s="6" t="s">
        <v>305</v>
      </c>
      <c r="G146" s="6">
        <v>0.5</v>
      </c>
      <c r="H146" s="6">
        <v>0.5</v>
      </c>
      <c r="I146" s="6">
        <v>1</v>
      </c>
      <c r="J146" s="5">
        <f t="shared" si="16"/>
        <v>3</v>
      </c>
      <c r="K146" s="5">
        <f t="shared" si="17"/>
        <v>3</v>
      </c>
      <c r="L146" s="7">
        <f t="shared" si="18"/>
        <v>0.66666666666666663</v>
      </c>
      <c r="M146" s="7">
        <f t="shared" si="19"/>
        <v>0</v>
      </c>
      <c r="N146" s="7">
        <f t="shared" si="20"/>
        <v>0</v>
      </c>
      <c r="O146" s="7">
        <f t="shared" si="21"/>
        <v>0.5</v>
      </c>
      <c r="P146" s="7">
        <f t="shared" si="22"/>
        <v>0.25</v>
      </c>
      <c r="Q146" s="5">
        <f t="shared" si="23"/>
        <v>0</v>
      </c>
      <c r="R146" s="7">
        <f>IF(OR(L146="",Baseline!$C$12=""),"",ABS(L146-Baseline!$C$12))</f>
        <v>0.16666666666666663</v>
      </c>
    </row>
    <row r="147" spans="1:18" x14ac:dyDescent="0.3">
      <c r="A147" s="5">
        <v>6</v>
      </c>
      <c r="B147" s="5" t="s">
        <v>47</v>
      </c>
      <c r="C147" s="5" t="s">
        <v>46</v>
      </c>
      <c r="D147" s="5" t="s">
        <v>38</v>
      </c>
      <c r="E147" s="5" t="s">
        <v>39</v>
      </c>
      <c r="F147" s="6" t="s">
        <v>306</v>
      </c>
      <c r="G147" s="6">
        <v>0.5</v>
      </c>
      <c r="H147" s="6">
        <v>0.5</v>
      </c>
      <c r="I147" s="6">
        <v>0.5</v>
      </c>
      <c r="J147" s="5">
        <f t="shared" si="16"/>
        <v>3</v>
      </c>
      <c r="K147" s="5">
        <f t="shared" si="17"/>
        <v>3</v>
      </c>
      <c r="L147" s="7">
        <f t="shared" si="18"/>
        <v>0.5</v>
      </c>
      <c r="M147" s="7">
        <f t="shared" si="19"/>
        <v>0</v>
      </c>
      <c r="N147" s="7">
        <f t="shared" si="20"/>
        <v>0</v>
      </c>
      <c r="O147" s="7">
        <f t="shared" si="21"/>
        <v>0</v>
      </c>
      <c r="P147" s="7">
        <f t="shared" si="22"/>
        <v>0</v>
      </c>
      <c r="Q147" s="5">
        <f t="shared" si="23"/>
        <v>0</v>
      </c>
      <c r="R147" s="7">
        <f>IF(OR(L147="",Baseline!$C$12=""),"",ABS(L147-Baseline!$C$12))</f>
        <v>0</v>
      </c>
    </row>
    <row r="148" spans="1:18" x14ac:dyDescent="0.3">
      <c r="A148" s="5">
        <v>7</v>
      </c>
      <c r="B148" s="5" t="s">
        <v>47</v>
      </c>
      <c r="C148" s="5" t="s">
        <v>46</v>
      </c>
      <c r="D148" s="5" t="s">
        <v>38</v>
      </c>
      <c r="E148" s="5" t="s">
        <v>39</v>
      </c>
      <c r="F148" s="6" t="s">
        <v>307</v>
      </c>
      <c r="G148" s="6">
        <v>0.5</v>
      </c>
      <c r="H148" s="6">
        <v>0.5</v>
      </c>
      <c r="I148" s="6">
        <v>0.5</v>
      </c>
      <c r="J148" s="5">
        <f t="shared" si="16"/>
        <v>3</v>
      </c>
      <c r="K148" s="5">
        <f t="shared" si="17"/>
        <v>3</v>
      </c>
      <c r="L148" s="7">
        <f t="shared" si="18"/>
        <v>0.5</v>
      </c>
      <c r="M148" s="7">
        <f t="shared" si="19"/>
        <v>0</v>
      </c>
      <c r="N148" s="7">
        <f t="shared" si="20"/>
        <v>0</v>
      </c>
      <c r="O148" s="7">
        <f t="shared" si="21"/>
        <v>0</v>
      </c>
      <c r="P148" s="7">
        <f t="shared" si="22"/>
        <v>0</v>
      </c>
      <c r="Q148" s="5">
        <f t="shared" si="23"/>
        <v>0</v>
      </c>
      <c r="R148" s="7">
        <f>IF(OR(L148="",Baseline!$C$12=""),"",ABS(L148-Baseline!$C$12))</f>
        <v>0</v>
      </c>
    </row>
    <row r="149" spans="1:18" x14ac:dyDescent="0.3">
      <c r="A149" s="5">
        <v>8</v>
      </c>
      <c r="B149" s="5" t="s">
        <v>47</v>
      </c>
      <c r="C149" s="5" t="s">
        <v>46</v>
      </c>
      <c r="D149" s="5" t="s">
        <v>38</v>
      </c>
      <c r="E149" s="5" t="s">
        <v>39</v>
      </c>
      <c r="F149" s="6" t="s">
        <v>308</v>
      </c>
      <c r="G149" s="6">
        <v>0.5</v>
      </c>
      <c r="H149" s="6">
        <v>14</v>
      </c>
      <c r="I149" s="6">
        <v>0.5</v>
      </c>
      <c r="J149" s="5">
        <f t="shared" si="16"/>
        <v>3</v>
      </c>
      <c r="K149" s="5">
        <f t="shared" si="17"/>
        <v>3</v>
      </c>
      <c r="L149" s="7">
        <f t="shared" si="18"/>
        <v>5</v>
      </c>
      <c r="M149" s="7">
        <f t="shared" si="19"/>
        <v>0</v>
      </c>
      <c r="N149" s="7">
        <f t="shared" si="20"/>
        <v>13.5</v>
      </c>
      <c r="O149" s="7">
        <f t="shared" si="21"/>
        <v>13.5</v>
      </c>
      <c r="P149" s="7">
        <f t="shared" si="22"/>
        <v>13.5</v>
      </c>
      <c r="Q149" s="5">
        <f t="shared" si="23"/>
        <v>0</v>
      </c>
      <c r="R149" s="7">
        <f>IF(OR(L149="",Baseline!$C$12=""),"",ABS(L149-Baseline!$C$12))</f>
        <v>4.5</v>
      </c>
    </row>
    <row r="150" spans="1:18" x14ac:dyDescent="0.3">
      <c r="A150" s="5">
        <v>9</v>
      </c>
      <c r="B150" s="5" t="s">
        <v>47</v>
      </c>
      <c r="C150" s="5" t="s">
        <v>46</v>
      </c>
      <c r="D150" s="5" t="s">
        <v>38</v>
      </c>
      <c r="E150" s="5" t="s">
        <v>39</v>
      </c>
      <c r="F150" s="6" t="s">
        <v>309</v>
      </c>
      <c r="G150" s="6">
        <v>0.5</v>
      </c>
      <c r="H150" s="6">
        <v>0.5</v>
      </c>
      <c r="I150" s="6">
        <v>0.5</v>
      </c>
      <c r="J150" s="5">
        <f t="shared" si="16"/>
        <v>3</v>
      </c>
      <c r="K150" s="5">
        <f t="shared" si="17"/>
        <v>3</v>
      </c>
      <c r="L150" s="7">
        <f t="shared" si="18"/>
        <v>0.5</v>
      </c>
      <c r="M150" s="7">
        <f t="shared" si="19"/>
        <v>0</v>
      </c>
      <c r="N150" s="7">
        <f t="shared" si="20"/>
        <v>0</v>
      </c>
      <c r="O150" s="7">
        <f t="shared" si="21"/>
        <v>0</v>
      </c>
      <c r="P150" s="7">
        <f t="shared" si="22"/>
        <v>0</v>
      </c>
      <c r="Q150" s="5">
        <f t="shared" si="23"/>
        <v>0</v>
      </c>
      <c r="R150" s="7">
        <f>IF(OR(L150="",Baseline!$C$12=""),"",ABS(L150-Baseline!$C$12))</f>
        <v>0</v>
      </c>
    </row>
    <row r="151" spans="1:18" x14ac:dyDescent="0.3">
      <c r="A151" s="5">
        <v>10</v>
      </c>
      <c r="B151" s="5" t="s">
        <v>47</v>
      </c>
      <c r="C151" s="5" t="s">
        <v>46</v>
      </c>
      <c r="D151" s="5" t="s">
        <v>38</v>
      </c>
      <c r="E151" s="5" t="s">
        <v>39</v>
      </c>
      <c r="F151" s="6" t="s">
        <v>310</v>
      </c>
      <c r="G151" s="6">
        <v>0.5</v>
      </c>
      <c r="H151" s="6">
        <v>0.5</v>
      </c>
      <c r="I151" s="6">
        <v>44</v>
      </c>
      <c r="J151" s="5">
        <f t="shared" si="16"/>
        <v>3</v>
      </c>
      <c r="K151" s="5">
        <f t="shared" si="17"/>
        <v>3</v>
      </c>
      <c r="L151" s="7">
        <f t="shared" si="18"/>
        <v>15</v>
      </c>
      <c r="M151" s="7">
        <f t="shared" si="19"/>
        <v>0</v>
      </c>
      <c r="N151" s="7">
        <f t="shared" si="20"/>
        <v>0</v>
      </c>
      <c r="O151" s="7">
        <f t="shared" si="21"/>
        <v>43.5</v>
      </c>
      <c r="P151" s="7">
        <f t="shared" si="22"/>
        <v>21.75</v>
      </c>
      <c r="Q151" s="5">
        <f t="shared" si="23"/>
        <v>0</v>
      </c>
      <c r="R151" s="7">
        <f>IF(OR(L151="",Baseline!$C$12=""),"",ABS(L151-Baseline!$C$12))</f>
        <v>14.5</v>
      </c>
    </row>
    <row r="152" spans="1:18" x14ac:dyDescent="0.3">
      <c r="A152" s="5">
        <v>11</v>
      </c>
      <c r="B152" s="5" t="s">
        <v>47</v>
      </c>
      <c r="C152" s="5" t="s">
        <v>46</v>
      </c>
      <c r="D152" s="5" t="s">
        <v>38</v>
      </c>
      <c r="E152" s="5" t="s">
        <v>39</v>
      </c>
      <c r="F152" s="6" t="s">
        <v>311</v>
      </c>
      <c r="G152" s="6">
        <v>0.5</v>
      </c>
      <c r="H152" s="6">
        <v>0.5</v>
      </c>
      <c r="I152" s="6">
        <v>0.5</v>
      </c>
      <c r="J152" s="5">
        <f t="shared" si="16"/>
        <v>3</v>
      </c>
      <c r="K152" s="5">
        <f t="shared" si="17"/>
        <v>3</v>
      </c>
      <c r="L152" s="7">
        <f t="shared" si="18"/>
        <v>0.5</v>
      </c>
      <c r="M152" s="7">
        <f t="shared" si="19"/>
        <v>0</v>
      </c>
      <c r="N152" s="7">
        <f t="shared" si="20"/>
        <v>0</v>
      </c>
      <c r="O152" s="7">
        <f t="shared" si="21"/>
        <v>0</v>
      </c>
      <c r="P152" s="7">
        <f t="shared" si="22"/>
        <v>0</v>
      </c>
      <c r="Q152" s="5">
        <f t="shared" si="23"/>
        <v>0</v>
      </c>
      <c r="R152" s="7">
        <f>IF(OR(L152="",Baseline!$C$12=""),"",ABS(L152-Baseline!$C$12))</f>
        <v>0</v>
      </c>
    </row>
    <row r="153" spans="1:18" x14ac:dyDescent="0.3">
      <c r="A153" s="5">
        <v>12</v>
      </c>
      <c r="B153" s="5" t="s">
        <v>47</v>
      </c>
      <c r="C153" s="5" t="s">
        <v>46</v>
      </c>
      <c r="D153" s="5" t="s">
        <v>38</v>
      </c>
      <c r="E153" s="5" t="s">
        <v>39</v>
      </c>
      <c r="F153" s="6" t="s">
        <v>312</v>
      </c>
      <c r="G153" s="6">
        <v>0.5</v>
      </c>
      <c r="H153" s="6">
        <v>0.5</v>
      </c>
      <c r="I153" s="6">
        <v>0.5</v>
      </c>
      <c r="J153" s="5">
        <f t="shared" si="16"/>
        <v>3</v>
      </c>
      <c r="K153" s="5">
        <f t="shared" si="17"/>
        <v>3</v>
      </c>
      <c r="L153" s="7">
        <f t="shared" si="18"/>
        <v>0.5</v>
      </c>
      <c r="M153" s="7">
        <f t="shared" si="19"/>
        <v>0</v>
      </c>
      <c r="N153" s="7">
        <f t="shared" si="20"/>
        <v>0</v>
      </c>
      <c r="O153" s="7">
        <f t="shared" si="21"/>
        <v>0</v>
      </c>
      <c r="P153" s="7">
        <f t="shared" si="22"/>
        <v>0</v>
      </c>
      <c r="Q153" s="5">
        <f t="shared" si="23"/>
        <v>0</v>
      </c>
      <c r="R153" s="7">
        <f>IF(OR(L153="",Baseline!$C$12=""),"",ABS(L153-Baseline!$C$12))</f>
        <v>0</v>
      </c>
    </row>
    <row r="154" spans="1:18" x14ac:dyDescent="0.3">
      <c r="A154" s="5">
        <v>13</v>
      </c>
      <c r="B154" s="5" t="s">
        <v>47</v>
      </c>
      <c r="C154" s="5" t="s">
        <v>46</v>
      </c>
      <c r="D154" s="5" t="s">
        <v>38</v>
      </c>
      <c r="E154" s="5" t="s">
        <v>39</v>
      </c>
      <c r="F154" s="6" t="s">
        <v>313</v>
      </c>
      <c r="G154" s="6">
        <v>0.5</v>
      </c>
      <c r="H154" s="6">
        <v>0.5</v>
      </c>
      <c r="I154" s="6">
        <v>0.5</v>
      </c>
      <c r="J154" s="5">
        <f t="shared" si="16"/>
        <v>3</v>
      </c>
      <c r="K154" s="5">
        <f t="shared" si="17"/>
        <v>3</v>
      </c>
      <c r="L154" s="7">
        <f t="shared" si="18"/>
        <v>0.5</v>
      </c>
      <c r="M154" s="7">
        <f t="shared" si="19"/>
        <v>0</v>
      </c>
      <c r="N154" s="7">
        <f t="shared" si="20"/>
        <v>0</v>
      </c>
      <c r="O154" s="7">
        <f t="shared" si="21"/>
        <v>0</v>
      </c>
      <c r="P154" s="7">
        <f t="shared" si="22"/>
        <v>0</v>
      </c>
      <c r="Q154" s="5">
        <f t="shared" si="23"/>
        <v>0</v>
      </c>
      <c r="R154" s="7">
        <f>IF(OR(L154="",Baseline!$C$12=""),"",ABS(L154-Baseline!$C$12))</f>
        <v>0</v>
      </c>
    </row>
    <row r="155" spans="1:18" x14ac:dyDescent="0.3">
      <c r="A155" s="5">
        <v>14</v>
      </c>
      <c r="B155" s="5" t="s">
        <v>47</v>
      </c>
      <c r="C155" s="5" t="s">
        <v>46</v>
      </c>
      <c r="D155" s="5" t="s">
        <v>38</v>
      </c>
      <c r="E155" s="5" t="s">
        <v>39</v>
      </c>
      <c r="F155" s="6" t="s">
        <v>314</v>
      </c>
      <c r="G155" s="6">
        <v>0.5</v>
      </c>
      <c r="H155" s="6">
        <v>0.5</v>
      </c>
      <c r="I155" s="6">
        <v>0.5</v>
      </c>
      <c r="J155" s="5">
        <f t="shared" si="16"/>
        <v>3</v>
      </c>
      <c r="K155" s="5">
        <f t="shared" si="17"/>
        <v>3</v>
      </c>
      <c r="L155" s="7">
        <f t="shared" si="18"/>
        <v>0.5</v>
      </c>
      <c r="M155" s="7">
        <f t="shared" si="19"/>
        <v>0</v>
      </c>
      <c r="N155" s="7">
        <f t="shared" si="20"/>
        <v>0</v>
      </c>
      <c r="O155" s="7">
        <f t="shared" si="21"/>
        <v>0</v>
      </c>
      <c r="P155" s="7">
        <f t="shared" si="22"/>
        <v>0</v>
      </c>
      <c r="Q155" s="5">
        <f t="shared" si="23"/>
        <v>0</v>
      </c>
      <c r="R155" s="7">
        <f>IF(OR(L155="",Baseline!$C$12=""),"",ABS(L155-Baseline!$C$12))</f>
        <v>0</v>
      </c>
    </row>
    <row r="156" spans="1:18" x14ac:dyDescent="0.3">
      <c r="A156" s="5">
        <v>15</v>
      </c>
      <c r="B156" s="5" t="s">
        <v>47</v>
      </c>
      <c r="C156" s="5" t="s">
        <v>46</v>
      </c>
      <c r="D156" s="5" t="s">
        <v>38</v>
      </c>
      <c r="E156" s="5" t="s">
        <v>39</v>
      </c>
      <c r="F156" s="6" t="s">
        <v>315</v>
      </c>
      <c r="G156" s="6">
        <v>0.5</v>
      </c>
      <c r="H156" s="6">
        <v>0.5</v>
      </c>
      <c r="I156" s="6">
        <v>0.5</v>
      </c>
      <c r="J156" s="5">
        <f t="shared" si="16"/>
        <v>3</v>
      </c>
      <c r="K156" s="5">
        <f t="shared" si="17"/>
        <v>3</v>
      </c>
      <c r="L156" s="7">
        <f t="shared" si="18"/>
        <v>0.5</v>
      </c>
      <c r="M156" s="7">
        <f t="shared" si="19"/>
        <v>0</v>
      </c>
      <c r="N156" s="7">
        <f t="shared" si="20"/>
        <v>0</v>
      </c>
      <c r="O156" s="7">
        <f t="shared" si="21"/>
        <v>0</v>
      </c>
      <c r="P156" s="7">
        <f t="shared" si="22"/>
        <v>0</v>
      </c>
      <c r="Q156" s="5">
        <f t="shared" si="23"/>
        <v>0</v>
      </c>
      <c r="R156" s="7">
        <f>IF(OR(L156="",Baseline!$C$12=""),"",ABS(L156-Baseline!$C$12))</f>
        <v>0</v>
      </c>
    </row>
    <row r="157" spans="1:18" x14ac:dyDescent="0.3">
      <c r="A157" s="5">
        <v>16</v>
      </c>
      <c r="B157" s="5" t="s">
        <v>47</v>
      </c>
      <c r="C157" s="5" t="s">
        <v>46</v>
      </c>
      <c r="D157" s="5" t="s">
        <v>38</v>
      </c>
      <c r="E157" s="5" t="s">
        <v>39</v>
      </c>
      <c r="F157" s="6" t="s">
        <v>316</v>
      </c>
      <c r="G157" s="6">
        <v>1</v>
      </c>
      <c r="H157" s="6">
        <v>1</v>
      </c>
      <c r="I157" s="6">
        <v>19</v>
      </c>
      <c r="J157" s="5">
        <f t="shared" si="16"/>
        <v>3</v>
      </c>
      <c r="K157" s="5">
        <f t="shared" si="17"/>
        <v>3</v>
      </c>
      <c r="L157" s="7">
        <f t="shared" si="18"/>
        <v>7</v>
      </c>
      <c r="M157" s="7">
        <f t="shared" si="19"/>
        <v>0</v>
      </c>
      <c r="N157" s="7">
        <f t="shared" si="20"/>
        <v>0</v>
      </c>
      <c r="O157" s="7">
        <f t="shared" si="21"/>
        <v>18</v>
      </c>
      <c r="P157" s="7">
        <f t="shared" si="22"/>
        <v>9</v>
      </c>
      <c r="Q157" s="5">
        <f t="shared" si="23"/>
        <v>0</v>
      </c>
      <c r="R157" s="7">
        <f>IF(OR(L157="",Baseline!$C$12=""),"",ABS(L157-Baseline!$C$12))</f>
        <v>6.5</v>
      </c>
    </row>
    <row r="158" spans="1:18" x14ac:dyDescent="0.3">
      <c r="A158" s="5">
        <v>17</v>
      </c>
      <c r="B158" s="5" t="s">
        <v>47</v>
      </c>
      <c r="C158" s="5" t="s">
        <v>46</v>
      </c>
      <c r="D158" s="5" t="s">
        <v>38</v>
      </c>
      <c r="E158" s="5" t="s">
        <v>39</v>
      </c>
      <c r="F158" s="6" t="s">
        <v>317</v>
      </c>
      <c r="G158" s="6">
        <v>0.5</v>
      </c>
      <c r="H158" s="6">
        <v>0.5</v>
      </c>
      <c r="I158" s="6">
        <v>0.5</v>
      </c>
      <c r="J158" s="5">
        <f t="shared" si="16"/>
        <v>3</v>
      </c>
      <c r="K158" s="5">
        <f t="shared" si="17"/>
        <v>3</v>
      </c>
      <c r="L158" s="7">
        <f t="shared" si="18"/>
        <v>0.5</v>
      </c>
      <c r="M158" s="7">
        <f t="shared" si="19"/>
        <v>0</v>
      </c>
      <c r="N158" s="7">
        <f t="shared" si="20"/>
        <v>0</v>
      </c>
      <c r="O158" s="7">
        <f t="shared" si="21"/>
        <v>0</v>
      </c>
      <c r="P158" s="7">
        <f t="shared" si="22"/>
        <v>0</v>
      </c>
      <c r="Q158" s="5">
        <f t="shared" si="23"/>
        <v>0</v>
      </c>
      <c r="R158" s="7">
        <f>IF(OR(L158="",Baseline!$C$12=""),"",ABS(L158-Baseline!$C$12))</f>
        <v>0</v>
      </c>
    </row>
    <row r="159" spans="1:18" x14ac:dyDescent="0.3">
      <c r="A159" s="5">
        <v>18</v>
      </c>
      <c r="B159" s="5" t="s">
        <v>47</v>
      </c>
      <c r="C159" s="5" t="s">
        <v>46</v>
      </c>
      <c r="D159" s="5" t="s">
        <v>38</v>
      </c>
      <c r="E159" s="5" t="s">
        <v>39</v>
      </c>
      <c r="F159" s="6" t="s">
        <v>318</v>
      </c>
      <c r="G159" s="6">
        <v>0.5</v>
      </c>
      <c r="H159" s="6">
        <v>0.5</v>
      </c>
      <c r="I159" s="6">
        <v>0.5</v>
      </c>
      <c r="J159" s="5">
        <f t="shared" si="16"/>
        <v>3</v>
      </c>
      <c r="K159" s="5">
        <f t="shared" si="17"/>
        <v>3</v>
      </c>
      <c r="L159" s="7">
        <f t="shared" si="18"/>
        <v>0.5</v>
      </c>
      <c r="M159" s="7">
        <f t="shared" si="19"/>
        <v>0</v>
      </c>
      <c r="N159" s="7">
        <f t="shared" si="20"/>
        <v>0</v>
      </c>
      <c r="O159" s="7">
        <f t="shared" si="21"/>
        <v>0</v>
      </c>
      <c r="P159" s="7">
        <f t="shared" si="22"/>
        <v>0</v>
      </c>
      <c r="Q159" s="5">
        <f t="shared" si="23"/>
        <v>0</v>
      </c>
      <c r="R159" s="7">
        <f>IF(OR(L159="",Baseline!$C$12=""),"",ABS(L159-Baseline!$C$12))</f>
        <v>0</v>
      </c>
    </row>
    <row r="160" spans="1:18" x14ac:dyDescent="0.3">
      <c r="A160" s="5">
        <v>19</v>
      </c>
      <c r="B160" s="5" t="s">
        <v>47</v>
      </c>
      <c r="C160" s="5" t="s">
        <v>46</v>
      </c>
      <c r="D160" s="5" t="s">
        <v>38</v>
      </c>
      <c r="E160" s="5" t="s">
        <v>39</v>
      </c>
      <c r="F160" s="6" t="s">
        <v>319</v>
      </c>
      <c r="G160" s="6">
        <v>0.5</v>
      </c>
      <c r="H160" s="6">
        <v>0.5</v>
      </c>
      <c r="I160" s="6">
        <v>0.5</v>
      </c>
      <c r="J160" s="5">
        <f t="shared" si="16"/>
        <v>3</v>
      </c>
      <c r="K160" s="5">
        <f t="shared" si="17"/>
        <v>3</v>
      </c>
      <c r="L160" s="7">
        <f t="shared" si="18"/>
        <v>0.5</v>
      </c>
      <c r="M160" s="7">
        <f t="shared" si="19"/>
        <v>0</v>
      </c>
      <c r="N160" s="7">
        <f t="shared" si="20"/>
        <v>0</v>
      </c>
      <c r="O160" s="7">
        <f t="shared" si="21"/>
        <v>0</v>
      </c>
      <c r="P160" s="7">
        <f t="shared" si="22"/>
        <v>0</v>
      </c>
      <c r="Q160" s="5">
        <f t="shared" si="23"/>
        <v>0</v>
      </c>
      <c r="R160" s="7">
        <f>IF(OR(L160="",Baseline!$C$12=""),"",ABS(L160-Baseline!$C$12))</f>
        <v>0</v>
      </c>
    </row>
    <row r="161" spans="1:18" x14ac:dyDescent="0.3">
      <c r="A161" s="5">
        <v>20</v>
      </c>
      <c r="B161" s="5" t="s">
        <v>47</v>
      </c>
      <c r="C161" s="5" t="s">
        <v>46</v>
      </c>
      <c r="D161" s="5" t="s">
        <v>38</v>
      </c>
      <c r="E161" s="5" t="s">
        <v>39</v>
      </c>
      <c r="F161" s="6" t="s">
        <v>320</v>
      </c>
      <c r="G161" s="6">
        <v>0.5</v>
      </c>
      <c r="H161" s="6">
        <v>1</v>
      </c>
      <c r="I161" s="6">
        <v>0.5</v>
      </c>
      <c r="J161" s="21">
        <f t="shared" si="16"/>
        <v>3</v>
      </c>
      <c r="K161" s="5">
        <f t="shared" si="17"/>
        <v>3</v>
      </c>
      <c r="L161" s="7">
        <f t="shared" si="18"/>
        <v>0.66666666666666663</v>
      </c>
      <c r="M161" s="7">
        <f t="shared" si="19"/>
        <v>0</v>
      </c>
      <c r="N161" s="7">
        <f t="shared" si="20"/>
        <v>0.5</v>
      </c>
      <c r="O161" s="7">
        <f t="shared" si="21"/>
        <v>0.5</v>
      </c>
      <c r="P161" s="7">
        <f t="shared" si="22"/>
        <v>0.5</v>
      </c>
      <c r="Q161" s="5">
        <f t="shared" si="23"/>
        <v>0</v>
      </c>
      <c r="R161" s="7">
        <f>IF(OR(L161="",Baseline!$C$12=""),"",ABS(L161-Baseline!$C$12))</f>
        <v>0.16666666666666663</v>
      </c>
    </row>
    <row r="162" spans="1:18" x14ac:dyDescent="0.3">
      <c r="A162" s="5">
        <v>1</v>
      </c>
      <c r="B162" s="5" t="s">
        <v>48</v>
      </c>
      <c r="C162" s="5" t="s">
        <v>49</v>
      </c>
      <c r="D162" s="5" t="s">
        <v>38</v>
      </c>
      <c r="E162" s="5" t="s">
        <v>39</v>
      </c>
      <c r="F162" s="6" t="s">
        <v>222</v>
      </c>
      <c r="G162" s="6">
        <v>0.5</v>
      </c>
      <c r="H162" s="6">
        <v>0.5</v>
      </c>
      <c r="I162" s="6">
        <v>0.5</v>
      </c>
      <c r="J162" s="5">
        <f t="shared" si="16"/>
        <v>3</v>
      </c>
      <c r="K162" s="5">
        <f t="shared" si="17"/>
        <v>3</v>
      </c>
      <c r="L162" s="7">
        <f t="shared" si="18"/>
        <v>0.5</v>
      </c>
      <c r="M162" s="7">
        <f t="shared" si="19"/>
        <v>0</v>
      </c>
      <c r="N162" s="7">
        <f t="shared" si="20"/>
        <v>0</v>
      </c>
      <c r="O162" s="7">
        <f t="shared" si="21"/>
        <v>0</v>
      </c>
      <c r="P162" s="7">
        <f t="shared" si="22"/>
        <v>0</v>
      </c>
      <c r="Q162" s="5">
        <f t="shared" si="23"/>
        <v>0</v>
      </c>
      <c r="R162" s="7">
        <f>IF(OR(L162="",Baseline!$C$13=""),"",ABS(L162-Baseline!$C$13))</f>
        <v>0</v>
      </c>
    </row>
    <row r="163" spans="1:18" x14ac:dyDescent="0.3">
      <c r="A163" s="5">
        <v>2</v>
      </c>
      <c r="B163" s="5" t="s">
        <v>48</v>
      </c>
      <c r="C163" s="5" t="s">
        <v>49</v>
      </c>
      <c r="D163" s="5" t="s">
        <v>38</v>
      </c>
      <c r="E163" s="5" t="s">
        <v>39</v>
      </c>
      <c r="F163" s="6" t="s">
        <v>223</v>
      </c>
      <c r="G163" s="6">
        <v>0.5</v>
      </c>
      <c r="H163" s="6">
        <v>0.5</v>
      </c>
      <c r="I163" s="6">
        <v>0.5</v>
      </c>
      <c r="J163" s="5">
        <f t="shared" si="16"/>
        <v>3</v>
      </c>
      <c r="K163" s="5">
        <f t="shared" si="17"/>
        <v>3</v>
      </c>
      <c r="L163" s="7">
        <f t="shared" si="18"/>
        <v>0.5</v>
      </c>
      <c r="M163" s="7">
        <f t="shared" si="19"/>
        <v>0</v>
      </c>
      <c r="N163" s="7">
        <f t="shared" si="20"/>
        <v>0</v>
      </c>
      <c r="O163" s="7">
        <f t="shared" si="21"/>
        <v>0</v>
      </c>
      <c r="P163" s="7">
        <f t="shared" si="22"/>
        <v>0</v>
      </c>
      <c r="Q163" s="5">
        <f t="shared" si="23"/>
        <v>0</v>
      </c>
      <c r="R163" s="7">
        <f>IF(OR(L163="",Baseline!$C$13=""),"",ABS(L163-Baseline!$C$13))</f>
        <v>0</v>
      </c>
    </row>
    <row r="164" spans="1:18" x14ac:dyDescent="0.3">
      <c r="A164" s="5">
        <v>3</v>
      </c>
      <c r="B164" s="5" t="s">
        <v>48</v>
      </c>
      <c r="C164" s="5" t="s">
        <v>49</v>
      </c>
      <c r="D164" s="5" t="s">
        <v>38</v>
      </c>
      <c r="E164" s="5" t="s">
        <v>39</v>
      </c>
      <c r="F164" s="6" t="s">
        <v>224</v>
      </c>
      <c r="G164" s="6">
        <v>0.5</v>
      </c>
      <c r="H164" s="6">
        <v>0.5</v>
      </c>
      <c r="I164" s="6">
        <v>1</v>
      </c>
      <c r="J164" s="5">
        <f t="shared" si="16"/>
        <v>3</v>
      </c>
      <c r="K164" s="5">
        <f t="shared" si="17"/>
        <v>3</v>
      </c>
      <c r="L164" s="7">
        <f t="shared" si="18"/>
        <v>0.66666666666666663</v>
      </c>
      <c r="M164" s="7">
        <f t="shared" si="19"/>
        <v>0</v>
      </c>
      <c r="N164" s="7">
        <f t="shared" si="20"/>
        <v>0</v>
      </c>
      <c r="O164" s="7">
        <f t="shared" si="21"/>
        <v>0.5</v>
      </c>
      <c r="P164" s="7">
        <f t="shared" si="22"/>
        <v>0.25</v>
      </c>
      <c r="Q164" s="5">
        <f t="shared" si="23"/>
        <v>0</v>
      </c>
      <c r="R164" s="7">
        <f>IF(OR(L164="",Baseline!$C$13=""),"",ABS(L164-Baseline!$C$13))</f>
        <v>0.16666666666666663</v>
      </c>
    </row>
    <row r="165" spans="1:18" x14ac:dyDescent="0.3">
      <c r="A165" s="5">
        <v>4</v>
      </c>
      <c r="B165" s="5" t="s">
        <v>48</v>
      </c>
      <c r="C165" s="5" t="s">
        <v>49</v>
      </c>
      <c r="D165" s="5" t="s">
        <v>38</v>
      </c>
      <c r="E165" s="5" t="s">
        <v>39</v>
      </c>
      <c r="F165" s="6" t="s">
        <v>225</v>
      </c>
      <c r="G165" s="6">
        <v>0.5</v>
      </c>
      <c r="H165" s="6">
        <v>0.5</v>
      </c>
      <c r="I165" s="6">
        <v>0.5</v>
      </c>
      <c r="J165" s="5">
        <f t="shared" si="16"/>
        <v>3</v>
      </c>
      <c r="K165" s="5">
        <f t="shared" si="17"/>
        <v>3</v>
      </c>
      <c r="L165" s="7">
        <f t="shared" si="18"/>
        <v>0.5</v>
      </c>
      <c r="M165" s="7">
        <f t="shared" si="19"/>
        <v>0</v>
      </c>
      <c r="N165" s="7">
        <f t="shared" si="20"/>
        <v>0</v>
      </c>
      <c r="O165" s="7">
        <f t="shared" si="21"/>
        <v>0</v>
      </c>
      <c r="P165" s="7">
        <f t="shared" si="22"/>
        <v>0</v>
      </c>
      <c r="Q165" s="5">
        <f t="shared" si="23"/>
        <v>0</v>
      </c>
      <c r="R165" s="7">
        <f>IF(OR(L165="",Baseline!$C$13=""),"",ABS(L165-Baseline!$C$13))</f>
        <v>0</v>
      </c>
    </row>
    <row r="166" spans="1:18" x14ac:dyDescent="0.3">
      <c r="A166" s="5">
        <v>5</v>
      </c>
      <c r="B166" s="5" t="s">
        <v>48</v>
      </c>
      <c r="C166" s="5" t="s">
        <v>49</v>
      </c>
      <c r="D166" s="5" t="s">
        <v>38</v>
      </c>
      <c r="E166" s="5" t="s">
        <v>39</v>
      </c>
      <c r="F166" s="6" t="s">
        <v>226</v>
      </c>
      <c r="G166" s="6">
        <v>0.5</v>
      </c>
      <c r="H166" s="6">
        <v>0.5</v>
      </c>
      <c r="I166" s="6">
        <v>0.5</v>
      </c>
      <c r="J166" s="5">
        <f t="shared" si="16"/>
        <v>3</v>
      </c>
      <c r="K166" s="5">
        <f t="shared" si="17"/>
        <v>3</v>
      </c>
      <c r="L166" s="7">
        <f t="shared" si="18"/>
        <v>0.5</v>
      </c>
      <c r="M166" s="7">
        <f t="shared" si="19"/>
        <v>0</v>
      </c>
      <c r="N166" s="7">
        <f t="shared" si="20"/>
        <v>0</v>
      </c>
      <c r="O166" s="7">
        <f t="shared" si="21"/>
        <v>0</v>
      </c>
      <c r="P166" s="7">
        <f t="shared" si="22"/>
        <v>0</v>
      </c>
      <c r="Q166" s="5">
        <f t="shared" si="23"/>
        <v>0</v>
      </c>
      <c r="R166" s="7">
        <f>IF(OR(L166="",Baseline!$C$13=""),"",ABS(L166-Baseline!$C$13))</f>
        <v>0</v>
      </c>
    </row>
    <row r="167" spans="1:18" x14ac:dyDescent="0.3">
      <c r="A167" s="5">
        <v>6</v>
      </c>
      <c r="B167" s="5" t="s">
        <v>48</v>
      </c>
      <c r="C167" s="5" t="s">
        <v>49</v>
      </c>
      <c r="D167" s="5" t="s">
        <v>38</v>
      </c>
      <c r="E167" s="5" t="s">
        <v>39</v>
      </c>
      <c r="F167" s="6" t="s">
        <v>227</v>
      </c>
      <c r="G167" s="6">
        <v>0.5</v>
      </c>
      <c r="H167" s="6">
        <v>0.5</v>
      </c>
      <c r="I167" s="6">
        <v>16</v>
      </c>
      <c r="J167" s="5">
        <f t="shared" si="16"/>
        <v>3</v>
      </c>
      <c r="K167" s="5">
        <f t="shared" si="17"/>
        <v>3</v>
      </c>
      <c r="L167" s="7">
        <f t="shared" si="18"/>
        <v>5.666666666666667</v>
      </c>
      <c r="M167" s="7">
        <f t="shared" si="19"/>
        <v>0</v>
      </c>
      <c r="N167" s="7">
        <f t="shared" si="20"/>
        <v>0</v>
      </c>
      <c r="O167" s="7">
        <f t="shared" si="21"/>
        <v>15.5</v>
      </c>
      <c r="P167" s="7">
        <f t="shared" si="22"/>
        <v>7.75</v>
      </c>
      <c r="Q167" s="5">
        <f t="shared" si="23"/>
        <v>0</v>
      </c>
      <c r="R167" s="7">
        <f>IF(OR(L167="",Baseline!$C$13=""),"",ABS(L167-Baseline!$C$13))</f>
        <v>5.166666666666667</v>
      </c>
    </row>
    <row r="168" spans="1:18" x14ac:dyDescent="0.3">
      <c r="A168" s="5">
        <v>7</v>
      </c>
      <c r="B168" s="5" t="s">
        <v>48</v>
      </c>
      <c r="C168" s="5" t="s">
        <v>49</v>
      </c>
      <c r="D168" s="5" t="s">
        <v>38</v>
      </c>
      <c r="E168" s="5" t="s">
        <v>39</v>
      </c>
      <c r="F168" s="6" t="s">
        <v>228</v>
      </c>
      <c r="G168" s="6">
        <v>0.5</v>
      </c>
      <c r="H168" s="6">
        <v>0.5</v>
      </c>
      <c r="I168" s="6">
        <v>0.5</v>
      </c>
      <c r="J168" s="5">
        <f t="shared" si="16"/>
        <v>3</v>
      </c>
      <c r="K168" s="5">
        <f t="shared" si="17"/>
        <v>3</v>
      </c>
      <c r="L168" s="7">
        <f t="shared" si="18"/>
        <v>0.5</v>
      </c>
      <c r="M168" s="7">
        <f t="shared" si="19"/>
        <v>0</v>
      </c>
      <c r="N168" s="7">
        <f t="shared" si="20"/>
        <v>0</v>
      </c>
      <c r="O168" s="7">
        <f t="shared" si="21"/>
        <v>0</v>
      </c>
      <c r="P168" s="7">
        <f t="shared" si="22"/>
        <v>0</v>
      </c>
      <c r="Q168" s="5">
        <f t="shared" si="23"/>
        <v>0</v>
      </c>
      <c r="R168" s="7">
        <f>IF(OR(L168="",Baseline!$C$13=""),"",ABS(L168-Baseline!$C$13))</f>
        <v>0</v>
      </c>
    </row>
    <row r="169" spans="1:18" x14ac:dyDescent="0.3">
      <c r="A169" s="5">
        <v>8</v>
      </c>
      <c r="B169" s="5" t="s">
        <v>48</v>
      </c>
      <c r="C169" s="5" t="s">
        <v>49</v>
      </c>
      <c r="D169" s="5" t="s">
        <v>38</v>
      </c>
      <c r="E169" s="5" t="s">
        <v>39</v>
      </c>
      <c r="F169" s="6" t="s">
        <v>229</v>
      </c>
      <c r="G169" s="6">
        <v>7</v>
      </c>
      <c r="H169" s="6">
        <v>0.5</v>
      </c>
      <c r="I169" s="6">
        <v>0.5</v>
      </c>
      <c r="J169" s="5">
        <f t="shared" si="16"/>
        <v>3</v>
      </c>
      <c r="K169" s="5">
        <f t="shared" si="17"/>
        <v>3</v>
      </c>
      <c r="L169" s="7">
        <f t="shared" si="18"/>
        <v>2.6666666666666665</v>
      </c>
      <c r="M169" s="7">
        <f t="shared" si="19"/>
        <v>0</v>
      </c>
      <c r="N169" s="7">
        <f t="shared" si="20"/>
        <v>6.5</v>
      </c>
      <c r="O169" s="7">
        <f t="shared" si="21"/>
        <v>0</v>
      </c>
      <c r="P169" s="7">
        <f t="shared" si="22"/>
        <v>3.25</v>
      </c>
      <c r="Q169" s="5">
        <f t="shared" si="23"/>
        <v>0</v>
      </c>
      <c r="R169" s="7">
        <f>IF(OR(L169="",Baseline!$C$13=""),"",ABS(L169-Baseline!$C$13))</f>
        <v>2.1666666666666665</v>
      </c>
    </row>
    <row r="170" spans="1:18" x14ac:dyDescent="0.3">
      <c r="A170" s="5">
        <v>9</v>
      </c>
      <c r="B170" s="5" t="s">
        <v>48</v>
      </c>
      <c r="C170" s="5" t="s">
        <v>49</v>
      </c>
      <c r="D170" s="5" t="s">
        <v>38</v>
      </c>
      <c r="E170" s="5" t="s">
        <v>39</v>
      </c>
      <c r="F170" s="6" t="s">
        <v>230</v>
      </c>
      <c r="G170" s="6">
        <v>0.5</v>
      </c>
      <c r="H170" s="6">
        <v>0.5</v>
      </c>
      <c r="I170" s="6">
        <v>0.5</v>
      </c>
      <c r="J170" s="5">
        <f t="shared" si="16"/>
        <v>3</v>
      </c>
      <c r="K170" s="5">
        <f t="shared" si="17"/>
        <v>3</v>
      </c>
      <c r="L170" s="7">
        <f t="shared" si="18"/>
        <v>0.5</v>
      </c>
      <c r="M170" s="7">
        <f t="shared" si="19"/>
        <v>0</v>
      </c>
      <c r="N170" s="7">
        <f t="shared" si="20"/>
        <v>0</v>
      </c>
      <c r="O170" s="7">
        <f t="shared" si="21"/>
        <v>0</v>
      </c>
      <c r="P170" s="7">
        <f t="shared" si="22"/>
        <v>0</v>
      </c>
      <c r="Q170" s="5">
        <f t="shared" si="23"/>
        <v>0</v>
      </c>
      <c r="R170" s="7">
        <f>IF(OR(L170="",Baseline!$C$13=""),"",ABS(L170-Baseline!$C$13))</f>
        <v>0</v>
      </c>
    </row>
    <row r="171" spans="1:18" x14ac:dyDescent="0.3">
      <c r="A171" s="5">
        <v>10</v>
      </c>
      <c r="B171" s="5" t="s">
        <v>48</v>
      </c>
      <c r="C171" s="5" t="s">
        <v>49</v>
      </c>
      <c r="D171" s="5" t="s">
        <v>38</v>
      </c>
      <c r="E171" s="5" t="s">
        <v>39</v>
      </c>
      <c r="F171" s="6" t="s">
        <v>231</v>
      </c>
      <c r="G171" s="6">
        <v>0.5</v>
      </c>
      <c r="H171" s="6">
        <v>0.5</v>
      </c>
      <c r="I171" s="6">
        <v>0.5</v>
      </c>
      <c r="J171" s="5">
        <f t="shared" si="16"/>
        <v>3</v>
      </c>
      <c r="K171" s="5">
        <f t="shared" si="17"/>
        <v>3</v>
      </c>
      <c r="L171" s="7">
        <f t="shared" si="18"/>
        <v>0.5</v>
      </c>
      <c r="M171" s="7">
        <f t="shared" si="19"/>
        <v>0</v>
      </c>
      <c r="N171" s="7">
        <f t="shared" si="20"/>
        <v>0</v>
      </c>
      <c r="O171" s="7">
        <f t="shared" si="21"/>
        <v>0</v>
      </c>
      <c r="P171" s="7">
        <f t="shared" si="22"/>
        <v>0</v>
      </c>
      <c r="Q171" s="5">
        <f t="shared" si="23"/>
        <v>0</v>
      </c>
      <c r="R171" s="7">
        <f>IF(OR(L171="",Baseline!$C$13=""),"",ABS(L171-Baseline!$C$13))</f>
        <v>0</v>
      </c>
    </row>
    <row r="172" spans="1:18" x14ac:dyDescent="0.3">
      <c r="A172" s="5">
        <v>11</v>
      </c>
      <c r="B172" s="5" t="s">
        <v>48</v>
      </c>
      <c r="C172" s="5" t="s">
        <v>49</v>
      </c>
      <c r="D172" s="5" t="s">
        <v>38</v>
      </c>
      <c r="E172" s="5" t="s">
        <v>39</v>
      </c>
      <c r="F172" s="6" t="s">
        <v>232</v>
      </c>
      <c r="G172" s="6">
        <v>0.5</v>
      </c>
      <c r="H172" s="6">
        <v>0.5</v>
      </c>
      <c r="I172" s="6">
        <v>0.5</v>
      </c>
      <c r="J172" s="5">
        <f t="shared" si="16"/>
        <v>3</v>
      </c>
      <c r="K172" s="5">
        <f t="shared" si="17"/>
        <v>3</v>
      </c>
      <c r="L172" s="7">
        <f t="shared" si="18"/>
        <v>0.5</v>
      </c>
      <c r="M172" s="7">
        <f t="shared" si="19"/>
        <v>0</v>
      </c>
      <c r="N172" s="7">
        <f t="shared" si="20"/>
        <v>0</v>
      </c>
      <c r="O172" s="7">
        <f t="shared" si="21"/>
        <v>0</v>
      </c>
      <c r="P172" s="7">
        <f t="shared" si="22"/>
        <v>0</v>
      </c>
      <c r="Q172" s="5">
        <f t="shared" si="23"/>
        <v>0</v>
      </c>
      <c r="R172" s="7">
        <f>IF(OR(L172="",Baseline!$C$13=""),"",ABS(L172-Baseline!$C$13))</f>
        <v>0</v>
      </c>
    </row>
    <row r="173" spans="1:18" x14ac:dyDescent="0.3">
      <c r="A173" s="5">
        <v>12</v>
      </c>
      <c r="B173" s="5" t="s">
        <v>48</v>
      </c>
      <c r="C173" s="5" t="s">
        <v>49</v>
      </c>
      <c r="D173" s="5" t="s">
        <v>38</v>
      </c>
      <c r="E173" s="5" t="s">
        <v>39</v>
      </c>
      <c r="F173" s="6" t="s">
        <v>233</v>
      </c>
      <c r="G173" s="6">
        <v>0.5</v>
      </c>
      <c r="H173" s="6">
        <v>0.5</v>
      </c>
      <c r="I173" s="6">
        <v>0.5</v>
      </c>
      <c r="J173" s="5">
        <f t="shared" si="16"/>
        <v>3</v>
      </c>
      <c r="K173" s="5">
        <f t="shared" si="17"/>
        <v>3</v>
      </c>
      <c r="L173" s="7">
        <f t="shared" si="18"/>
        <v>0.5</v>
      </c>
      <c r="M173" s="7">
        <f t="shared" si="19"/>
        <v>0</v>
      </c>
      <c r="N173" s="7">
        <f t="shared" si="20"/>
        <v>0</v>
      </c>
      <c r="O173" s="7">
        <f t="shared" si="21"/>
        <v>0</v>
      </c>
      <c r="P173" s="7">
        <f t="shared" si="22"/>
        <v>0</v>
      </c>
      <c r="Q173" s="5">
        <f t="shared" si="23"/>
        <v>0</v>
      </c>
      <c r="R173" s="7">
        <f>IF(OR(L173="",Baseline!$C$13=""),"",ABS(L173-Baseline!$C$13))</f>
        <v>0</v>
      </c>
    </row>
    <row r="174" spans="1:18" x14ac:dyDescent="0.3">
      <c r="A174" s="5">
        <v>13</v>
      </c>
      <c r="B174" s="5" t="s">
        <v>48</v>
      </c>
      <c r="C174" s="5" t="s">
        <v>49</v>
      </c>
      <c r="D174" s="5" t="s">
        <v>38</v>
      </c>
      <c r="E174" s="5" t="s">
        <v>39</v>
      </c>
      <c r="F174" s="6" t="s">
        <v>234</v>
      </c>
      <c r="G174" s="6">
        <v>0.5</v>
      </c>
      <c r="H174" s="6">
        <v>0.5</v>
      </c>
      <c r="I174" s="6">
        <v>0.5</v>
      </c>
      <c r="J174" s="5">
        <f t="shared" si="16"/>
        <v>3</v>
      </c>
      <c r="K174" s="5">
        <f t="shared" si="17"/>
        <v>3</v>
      </c>
      <c r="L174" s="7">
        <f t="shared" si="18"/>
        <v>0.5</v>
      </c>
      <c r="M174" s="7">
        <f t="shared" si="19"/>
        <v>0</v>
      </c>
      <c r="N174" s="7">
        <f t="shared" si="20"/>
        <v>0</v>
      </c>
      <c r="O174" s="7">
        <f t="shared" si="21"/>
        <v>0</v>
      </c>
      <c r="P174" s="7">
        <f t="shared" si="22"/>
        <v>0</v>
      </c>
      <c r="Q174" s="5">
        <f t="shared" si="23"/>
        <v>0</v>
      </c>
      <c r="R174" s="7">
        <f>IF(OR(L174="",Baseline!$C$13=""),"",ABS(L174-Baseline!$C$13))</f>
        <v>0</v>
      </c>
    </row>
    <row r="175" spans="1:18" x14ac:dyDescent="0.3">
      <c r="A175" s="5">
        <v>14</v>
      </c>
      <c r="B175" s="5" t="s">
        <v>48</v>
      </c>
      <c r="C175" s="5" t="s">
        <v>49</v>
      </c>
      <c r="D175" s="5" t="s">
        <v>38</v>
      </c>
      <c r="E175" s="5" t="s">
        <v>39</v>
      </c>
      <c r="F175" s="6" t="s">
        <v>235</v>
      </c>
      <c r="G175" s="6">
        <v>0.5</v>
      </c>
      <c r="H175" s="6">
        <v>0.5</v>
      </c>
      <c r="I175" s="6">
        <v>0.5</v>
      </c>
      <c r="J175" s="5">
        <f t="shared" si="16"/>
        <v>3</v>
      </c>
      <c r="K175" s="5">
        <f t="shared" si="17"/>
        <v>3</v>
      </c>
      <c r="L175" s="7">
        <f t="shared" si="18"/>
        <v>0.5</v>
      </c>
      <c r="M175" s="7">
        <f t="shared" si="19"/>
        <v>0</v>
      </c>
      <c r="N175" s="7">
        <f t="shared" si="20"/>
        <v>0</v>
      </c>
      <c r="O175" s="7">
        <f t="shared" si="21"/>
        <v>0</v>
      </c>
      <c r="P175" s="7">
        <f t="shared" si="22"/>
        <v>0</v>
      </c>
      <c r="Q175" s="5">
        <f t="shared" si="23"/>
        <v>0</v>
      </c>
      <c r="R175" s="7">
        <f>IF(OR(L175="",Baseline!$C$13=""),"",ABS(L175-Baseline!$C$13))</f>
        <v>0</v>
      </c>
    </row>
    <row r="176" spans="1:18" x14ac:dyDescent="0.3">
      <c r="A176" s="5">
        <v>15</v>
      </c>
      <c r="B176" s="5" t="s">
        <v>48</v>
      </c>
      <c r="C176" s="5" t="s">
        <v>49</v>
      </c>
      <c r="D176" s="5" t="s">
        <v>38</v>
      </c>
      <c r="E176" s="5" t="s">
        <v>39</v>
      </c>
      <c r="F176" s="6" t="s">
        <v>236</v>
      </c>
      <c r="G176" s="6">
        <v>0.5</v>
      </c>
      <c r="H176" s="6">
        <v>0.5</v>
      </c>
      <c r="I176" s="6">
        <v>0.5</v>
      </c>
      <c r="J176" s="5">
        <f t="shared" si="16"/>
        <v>3</v>
      </c>
      <c r="K176" s="5">
        <f t="shared" si="17"/>
        <v>3</v>
      </c>
      <c r="L176" s="7">
        <f t="shared" si="18"/>
        <v>0.5</v>
      </c>
      <c r="M176" s="7">
        <f t="shared" si="19"/>
        <v>0</v>
      </c>
      <c r="N176" s="7">
        <f t="shared" si="20"/>
        <v>0</v>
      </c>
      <c r="O176" s="7">
        <f t="shared" si="21"/>
        <v>0</v>
      </c>
      <c r="P176" s="7">
        <f t="shared" si="22"/>
        <v>0</v>
      </c>
      <c r="Q176" s="5">
        <f t="shared" si="23"/>
        <v>0</v>
      </c>
      <c r="R176" s="7">
        <f>IF(OR(L176="",Baseline!$C$13=""),"",ABS(L176-Baseline!$C$13))</f>
        <v>0</v>
      </c>
    </row>
    <row r="177" spans="1:18" x14ac:dyDescent="0.3">
      <c r="A177" s="5">
        <v>16</v>
      </c>
      <c r="B177" s="5" t="s">
        <v>48</v>
      </c>
      <c r="C177" s="5" t="s">
        <v>49</v>
      </c>
      <c r="D177" s="5" t="s">
        <v>38</v>
      </c>
      <c r="E177" s="5" t="s">
        <v>39</v>
      </c>
      <c r="F177" s="6" t="s">
        <v>237</v>
      </c>
      <c r="G177" s="6">
        <v>0.5</v>
      </c>
      <c r="H177" s="6">
        <v>0.5</v>
      </c>
      <c r="I177" s="6">
        <v>0.5</v>
      </c>
      <c r="J177" s="5">
        <f t="shared" si="16"/>
        <v>3</v>
      </c>
      <c r="K177" s="5">
        <f t="shared" si="17"/>
        <v>3</v>
      </c>
      <c r="L177" s="7">
        <f t="shared" si="18"/>
        <v>0.5</v>
      </c>
      <c r="M177" s="7">
        <f t="shared" si="19"/>
        <v>0</v>
      </c>
      <c r="N177" s="7">
        <f t="shared" si="20"/>
        <v>0</v>
      </c>
      <c r="O177" s="7">
        <f t="shared" si="21"/>
        <v>0</v>
      </c>
      <c r="P177" s="7">
        <f t="shared" si="22"/>
        <v>0</v>
      </c>
      <c r="Q177" s="5">
        <f t="shared" si="23"/>
        <v>0</v>
      </c>
      <c r="R177" s="7">
        <f>IF(OR(L177="",Baseline!$C$13=""),"",ABS(L177-Baseline!$C$13))</f>
        <v>0</v>
      </c>
    </row>
    <row r="178" spans="1:18" x14ac:dyDescent="0.3">
      <c r="A178" s="5">
        <v>17</v>
      </c>
      <c r="B178" s="5" t="s">
        <v>48</v>
      </c>
      <c r="C178" s="5" t="s">
        <v>49</v>
      </c>
      <c r="D178" s="5" t="s">
        <v>38</v>
      </c>
      <c r="E178" s="5" t="s">
        <v>39</v>
      </c>
      <c r="F178" s="6" t="s">
        <v>238</v>
      </c>
      <c r="G178" s="6">
        <v>0.5</v>
      </c>
      <c r="H178" s="6">
        <v>0.5</v>
      </c>
      <c r="I178" s="6">
        <v>0.5</v>
      </c>
      <c r="J178" s="5">
        <f t="shared" si="16"/>
        <v>3</v>
      </c>
      <c r="K178" s="5">
        <f t="shared" si="17"/>
        <v>3</v>
      </c>
      <c r="L178" s="7">
        <f t="shared" si="18"/>
        <v>0.5</v>
      </c>
      <c r="M178" s="7">
        <f t="shared" si="19"/>
        <v>0</v>
      </c>
      <c r="N178" s="7">
        <f t="shared" si="20"/>
        <v>0</v>
      </c>
      <c r="O178" s="7">
        <f t="shared" si="21"/>
        <v>0</v>
      </c>
      <c r="P178" s="7">
        <f t="shared" si="22"/>
        <v>0</v>
      </c>
      <c r="Q178" s="5">
        <f t="shared" si="23"/>
        <v>0</v>
      </c>
      <c r="R178" s="7">
        <f>IF(OR(L178="",Baseline!$C$13=""),"",ABS(L178-Baseline!$C$13))</f>
        <v>0</v>
      </c>
    </row>
    <row r="179" spans="1:18" x14ac:dyDescent="0.3">
      <c r="A179" s="5">
        <v>18</v>
      </c>
      <c r="B179" s="5" t="s">
        <v>48</v>
      </c>
      <c r="C179" s="5" t="s">
        <v>49</v>
      </c>
      <c r="D179" s="5" t="s">
        <v>38</v>
      </c>
      <c r="E179" s="5" t="s">
        <v>39</v>
      </c>
      <c r="F179" s="6" t="s">
        <v>238</v>
      </c>
      <c r="G179" s="6">
        <v>0.5</v>
      </c>
      <c r="H179" s="6">
        <v>15</v>
      </c>
      <c r="I179" s="6">
        <v>0.5</v>
      </c>
      <c r="J179" s="5">
        <f t="shared" si="16"/>
        <v>3</v>
      </c>
      <c r="K179" s="5">
        <f t="shared" si="17"/>
        <v>3</v>
      </c>
      <c r="L179" s="7">
        <f t="shared" si="18"/>
        <v>5.333333333333333</v>
      </c>
      <c r="M179" s="7">
        <f t="shared" si="19"/>
        <v>0</v>
      </c>
      <c r="N179" s="7">
        <f t="shared" si="20"/>
        <v>14.5</v>
      </c>
      <c r="O179" s="7">
        <f t="shared" si="21"/>
        <v>14.5</v>
      </c>
      <c r="P179" s="7">
        <f t="shared" si="22"/>
        <v>14.5</v>
      </c>
      <c r="Q179" s="5">
        <f t="shared" si="23"/>
        <v>0</v>
      </c>
      <c r="R179" s="7">
        <f>IF(OR(L179="",Baseline!$C$13=""),"",ABS(L179-Baseline!$C$13))</f>
        <v>4.833333333333333</v>
      </c>
    </row>
    <row r="180" spans="1:18" x14ac:dyDescent="0.3">
      <c r="A180" s="5">
        <v>19</v>
      </c>
      <c r="B180" s="5" t="s">
        <v>48</v>
      </c>
      <c r="C180" s="5" t="s">
        <v>49</v>
      </c>
      <c r="D180" s="5" t="s">
        <v>38</v>
      </c>
      <c r="E180" s="5" t="s">
        <v>39</v>
      </c>
      <c r="F180" s="6" t="s">
        <v>239</v>
      </c>
      <c r="G180" s="6">
        <v>0.5</v>
      </c>
      <c r="H180" s="6">
        <v>0.5</v>
      </c>
      <c r="I180" s="6">
        <v>0.5</v>
      </c>
      <c r="J180" s="5">
        <f t="shared" si="16"/>
        <v>3</v>
      </c>
      <c r="K180" s="5">
        <f t="shared" si="17"/>
        <v>3</v>
      </c>
      <c r="L180" s="7">
        <f t="shared" si="18"/>
        <v>0.5</v>
      </c>
      <c r="M180" s="7">
        <f t="shared" si="19"/>
        <v>0</v>
      </c>
      <c r="N180" s="7">
        <f t="shared" si="20"/>
        <v>0</v>
      </c>
      <c r="O180" s="7">
        <f t="shared" si="21"/>
        <v>0</v>
      </c>
      <c r="P180" s="7">
        <f t="shared" si="22"/>
        <v>0</v>
      </c>
      <c r="Q180" s="5">
        <f t="shared" si="23"/>
        <v>0</v>
      </c>
      <c r="R180" s="7">
        <f>IF(OR(L180="",Baseline!$C$13=""),"",ABS(L180-Baseline!$C$13))</f>
        <v>0</v>
      </c>
    </row>
    <row r="181" spans="1:18" x14ac:dyDescent="0.3">
      <c r="A181" s="5">
        <v>20</v>
      </c>
      <c r="B181" s="5" t="s">
        <v>48</v>
      </c>
      <c r="C181" s="5" t="s">
        <v>49</v>
      </c>
      <c r="D181" s="5" t="s">
        <v>38</v>
      </c>
      <c r="E181" s="5" t="s">
        <v>39</v>
      </c>
      <c r="F181" s="6" t="s">
        <v>240</v>
      </c>
      <c r="G181" s="6">
        <v>0.5</v>
      </c>
      <c r="H181" s="6">
        <v>0.5</v>
      </c>
      <c r="I181" s="6">
        <v>0.5</v>
      </c>
      <c r="J181" s="5">
        <f t="shared" si="16"/>
        <v>3</v>
      </c>
      <c r="K181" s="5">
        <f t="shared" si="17"/>
        <v>3</v>
      </c>
      <c r="L181" s="7">
        <f t="shared" si="18"/>
        <v>0.5</v>
      </c>
      <c r="M181" s="7">
        <f t="shared" si="19"/>
        <v>0</v>
      </c>
      <c r="N181" s="7">
        <f t="shared" si="20"/>
        <v>0</v>
      </c>
      <c r="O181" s="7">
        <f t="shared" si="21"/>
        <v>0</v>
      </c>
      <c r="P181" s="7">
        <f t="shared" si="22"/>
        <v>0</v>
      </c>
      <c r="Q181" s="5">
        <f t="shared" si="23"/>
        <v>0</v>
      </c>
      <c r="R181" s="7">
        <f>IF(OR(L181="",Baseline!$C$13=""),"",ABS(L181-Baseline!$C$13))</f>
        <v>0</v>
      </c>
    </row>
    <row r="182" spans="1:18" x14ac:dyDescent="0.3">
      <c r="A182" s="5">
        <v>1</v>
      </c>
      <c r="B182" s="5" t="s">
        <v>50</v>
      </c>
      <c r="C182" s="5" t="s">
        <v>51</v>
      </c>
      <c r="D182" s="5" t="s">
        <v>38</v>
      </c>
      <c r="E182" s="5" t="s">
        <v>39</v>
      </c>
      <c r="F182" s="6" t="s">
        <v>241</v>
      </c>
      <c r="G182" s="6">
        <v>0.5</v>
      </c>
      <c r="H182" s="6">
        <v>1</v>
      </c>
      <c r="I182" s="6">
        <v>0.5</v>
      </c>
      <c r="J182" s="5">
        <f t="shared" si="16"/>
        <v>3</v>
      </c>
      <c r="K182" s="5">
        <f t="shared" si="17"/>
        <v>3</v>
      </c>
      <c r="L182" s="7">
        <f t="shared" si="18"/>
        <v>0.66666666666666663</v>
      </c>
      <c r="M182" s="7">
        <f t="shared" si="19"/>
        <v>0</v>
      </c>
      <c r="N182" s="7">
        <f t="shared" si="20"/>
        <v>0.5</v>
      </c>
      <c r="O182" s="7">
        <f t="shared" si="21"/>
        <v>0.5</v>
      </c>
      <c r="P182" s="7">
        <f t="shared" si="22"/>
        <v>0.5</v>
      </c>
      <c r="Q182" s="5">
        <f t="shared" si="23"/>
        <v>0</v>
      </c>
      <c r="R182" s="7">
        <f>IF(OR(L182="",Baseline!$C$14=""),"",ABS(L182-Baseline!$C$14))</f>
        <v>0.16666666666666663</v>
      </c>
    </row>
    <row r="183" spans="1:18" x14ac:dyDescent="0.3">
      <c r="A183" s="5">
        <v>2</v>
      </c>
      <c r="B183" s="5" t="s">
        <v>50</v>
      </c>
      <c r="C183" s="5" t="s">
        <v>51</v>
      </c>
      <c r="D183" s="5" t="s">
        <v>38</v>
      </c>
      <c r="E183" s="5" t="s">
        <v>39</v>
      </c>
      <c r="F183" s="6" t="s">
        <v>242</v>
      </c>
      <c r="G183" s="6">
        <v>0.5</v>
      </c>
      <c r="H183" s="6">
        <v>0.5</v>
      </c>
      <c r="I183" s="6">
        <v>0.5</v>
      </c>
      <c r="J183" s="5">
        <f t="shared" si="16"/>
        <v>3</v>
      </c>
      <c r="K183" s="5">
        <f t="shared" si="17"/>
        <v>3</v>
      </c>
      <c r="L183" s="7">
        <f t="shared" si="18"/>
        <v>0.5</v>
      </c>
      <c r="M183" s="7">
        <f t="shared" si="19"/>
        <v>0</v>
      </c>
      <c r="N183" s="7">
        <f t="shared" si="20"/>
        <v>0</v>
      </c>
      <c r="O183" s="7">
        <f t="shared" si="21"/>
        <v>0</v>
      </c>
      <c r="P183" s="7">
        <f t="shared" si="22"/>
        <v>0</v>
      </c>
      <c r="Q183" s="5">
        <f t="shared" si="23"/>
        <v>0</v>
      </c>
      <c r="R183" s="7">
        <f>IF(OR(L183="",Baseline!$C$14=""),"",ABS(L183-Baseline!$C$14))</f>
        <v>0</v>
      </c>
    </row>
    <row r="184" spans="1:18" x14ac:dyDescent="0.3">
      <c r="A184" s="5">
        <v>3</v>
      </c>
      <c r="B184" s="5" t="s">
        <v>50</v>
      </c>
      <c r="C184" s="5" t="s">
        <v>51</v>
      </c>
      <c r="D184" s="5" t="s">
        <v>38</v>
      </c>
      <c r="E184" s="5" t="s">
        <v>39</v>
      </c>
      <c r="F184" s="6" t="s">
        <v>243</v>
      </c>
      <c r="G184" s="6">
        <v>0.5</v>
      </c>
      <c r="H184" s="6">
        <v>0.5</v>
      </c>
      <c r="I184" s="6">
        <v>0.5</v>
      </c>
      <c r="J184" s="5">
        <f t="shared" si="16"/>
        <v>3</v>
      </c>
      <c r="K184" s="5">
        <f t="shared" si="17"/>
        <v>3</v>
      </c>
      <c r="L184" s="7">
        <f t="shared" si="18"/>
        <v>0.5</v>
      </c>
      <c r="M184" s="7">
        <f t="shared" si="19"/>
        <v>0</v>
      </c>
      <c r="N184" s="7">
        <f t="shared" si="20"/>
        <v>0</v>
      </c>
      <c r="O184" s="7">
        <f t="shared" si="21"/>
        <v>0</v>
      </c>
      <c r="P184" s="7">
        <f t="shared" si="22"/>
        <v>0</v>
      </c>
      <c r="Q184" s="5">
        <f t="shared" si="23"/>
        <v>0</v>
      </c>
      <c r="R184" s="7">
        <f>IF(OR(L184="",Baseline!$C$14=""),"",ABS(L184-Baseline!$C$14))</f>
        <v>0</v>
      </c>
    </row>
    <row r="185" spans="1:18" x14ac:dyDescent="0.3">
      <c r="A185" s="5">
        <v>4</v>
      </c>
      <c r="B185" s="5" t="s">
        <v>50</v>
      </c>
      <c r="C185" s="5" t="s">
        <v>51</v>
      </c>
      <c r="D185" s="5" t="s">
        <v>38</v>
      </c>
      <c r="E185" s="5" t="s">
        <v>39</v>
      </c>
      <c r="F185" s="6" t="s">
        <v>244</v>
      </c>
      <c r="G185" s="6">
        <v>0.5</v>
      </c>
      <c r="H185" s="6">
        <v>0.5</v>
      </c>
      <c r="I185" s="6">
        <v>0.5</v>
      </c>
      <c r="J185" s="5">
        <f t="shared" si="16"/>
        <v>3</v>
      </c>
      <c r="K185" s="5">
        <f t="shared" si="17"/>
        <v>3</v>
      </c>
      <c r="L185" s="7">
        <f t="shared" si="18"/>
        <v>0.5</v>
      </c>
      <c r="M185" s="7">
        <f t="shared" si="19"/>
        <v>0</v>
      </c>
      <c r="N185" s="7">
        <f t="shared" si="20"/>
        <v>0</v>
      </c>
      <c r="O185" s="7">
        <f t="shared" si="21"/>
        <v>0</v>
      </c>
      <c r="P185" s="7">
        <f t="shared" si="22"/>
        <v>0</v>
      </c>
      <c r="Q185" s="5">
        <f t="shared" si="23"/>
        <v>0</v>
      </c>
      <c r="R185" s="7">
        <f>IF(OR(L185="",Baseline!$C$14=""),"",ABS(L185-Baseline!$C$14))</f>
        <v>0</v>
      </c>
    </row>
    <row r="186" spans="1:18" x14ac:dyDescent="0.3">
      <c r="A186" s="5">
        <v>5</v>
      </c>
      <c r="B186" s="5" t="s">
        <v>50</v>
      </c>
      <c r="C186" s="5" t="s">
        <v>51</v>
      </c>
      <c r="D186" s="5" t="s">
        <v>38</v>
      </c>
      <c r="E186" s="5" t="s">
        <v>39</v>
      </c>
      <c r="F186" s="6" t="s">
        <v>245</v>
      </c>
      <c r="G186" s="6">
        <v>0.5</v>
      </c>
      <c r="H186" s="6">
        <v>0.5</v>
      </c>
      <c r="I186" s="6">
        <v>0.5</v>
      </c>
      <c r="J186" s="5">
        <f t="shared" si="16"/>
        <v>3</v>
      </c>
      <c r="K186" s="5">
        <f t="shared" si="17"/>
        <v>3</v>
      </c>
      <c r="L186" s="7">
        <f t="shared" si="18"/>
        <v>0.5</v>
      </c>
      <c r="M186" s="7">
        <f t="shared" si="19"/>
        <v>0</v>
      </c>
      <c r="N186" s="7">
        <f t="shared" si="20"/>
        <v>0</v>
      </c>
      <c r="O186" s="7">
        <f t="shared" si="21"/>
        <v>0</v>
      </c>
      <c r="P186" s="7">
        <f t="shared" si="22"/>
        <v>0</v>
      </c>
      <c r="Q186" s="5">
        <f t="shared" si="23"/>
        <v>0</v>
      </c>
      <c r="R186" s="7">
        <f>IF(OR(L186="",Baseline!$C$14=""),"",ABS(L186-Baseline!$C$14))</f>
        <v>0</v>
      </c>
    </row>
    <row r="187" spans="1:18" x14ac:dyDescent="0.3">
      <c r="A187" s="5">
        <v>6</v>
      </c>
      <c r="B187" s="5" t="s">
        <v>50</v>
      </c>
      <c r="C187" s="5" t="s">
        <v>51</v>
      </c>
      <c r="D187" s="5" t="s">
        <v>38</v>
      </c>
      <c r="E187" s="5" t="s">
        <v>39</v>
      </c>
      <c r="F187" s="6" t="s">
        <v>246</v>
      </c>
      <c r="G187" s="6">
        <v>1</v>
      </c>
      <c r="H187" s="6">
        <v>0.5</v>
      </c>
      <c r="I187" s="6">
        <v>0.5</v>
      </c>
      <c r="J187" s="5">
        <f t="shared" si="16"/>
        <v>3</v>
      </c>
      <c r="K187" s="5">
        <f t="shared" si="17"/>
        <v>3</v>
      </c>
      <c r="L187" s="7">
        <f t="shared" si="18"/>
        <v>0.66666666666666663</v>
      </c>
      <c r="M187" s="7">
        <f t="shared" si="19"/>
        <v>0</v>
      </c>
      <c r="N187" s="7">
        <f t="shared" si="20"/>
        <v>0.5</v>
      </c>
      <c r="O187" s="7">
        <f t="shared" si="21"/>
        <v>0</v>
      </c>
      <c r="P187" s="7">
        <f t="shared" si="22"/>
        <v>0.25</v>
      </c>
      <c r="Q187" s="5">
        <f t="shared" si="23"/>
        <v>0</v>
      </c>
      <c r="R187" s="7">
        <f>IF(OR(L187="",Baseline!$C$14=""),"",ABS(L187-Baseline!$C$14))</f>
        <v>0.16666666666666663</v>
      </c>
    </row>
    <row r="188" spans="1:18" x14ac:dyDescent="0.3">
      <c r="A188" s="5">
        <v>7</v>
      </c>
      <c r="B188" s="5" t="s">
        <v>50</v>
      </c>
      <c r="C188" s="5" t="s">
        <v>51</v>
      </c>
      <c r="D188" s="5" t="s">
        <v>38</v>
      </c>
      <c r="E188" s="5" t="s">
        <v>39</v>
      </c>
      <c r="F188" s="6" t="s">
        <v>247</v>
      </c>
      <c r="G188" s="6">
        <v>0.5</v>
      </c>
      <c r="H188" s="6">
        <v>0.5</v>
      </c>
      <c r="I188" s="6">
        <v>0.5</v>
      </c>
      <c r="J188" s="5">
        <f t="shared" si="16"/>
        <v>3</v>
      </c>
      <c r="K188" s="5">
        <f t="shared" si="17"/>
        <v>3</v>
      </c>
      <c r="L188" s="7">
        <f t="shared" si="18"/>
        <v>0.5</v>
      </c>
      <c r="M188" s="7">
        <f t="shared" si="19"/>
        <v>0</v>
      </c>
      <c r="N188" s="7">
        <f t="shared" si="20"/>
        <v>0</v>
      </c>
      <c r="O188" s="7">
        <f t="shared" si="21"/>
        <v>0</v>
      </c>
      <c r="P188" s="7">
        <f t="shared" si="22"/>
        <v>0</v>
      </c>
      <c r="Q188" s="5">
        <f t="shared" si="23"/>
        <v>0</v>
      </c>
      <c r="R188" s="7">
        <f>IF(OR(L188="",Baseline!$C$14=""),"",ABS(L188-Baseline!$C$14))</f>
        <v>0</v>
      </c>
    </row>
    <row r="189" spans="1:18" x14ac:dyDescent="0.3">
      <c r="A189" s="5">
        <v>8</v>
      </c>
      <c r="B189" s="5" t="s">
        <v>50</v>
      </c>
      <c r="C189" s="5" t="s">
        <v>51</v>
      </c>
      <c r="D189" s="5" t="s">
        <v>38</v>
      </c>
      <c r="E189" s="5" t="s">
        <v>39</v>
      </c>
      <c r="F189" s="6" t="s">
        <v>248</v>
      </c>
      <c r="G189" s="6">
        <v>0.5</v>
      </c>
      <c r="H189" s="6">
        <v>0.5</v>
      </c>
      <c r="I189" s="6">
        <v>0.5</v>
      </c>
      <c r="J189" s="5">
        <f t="shared" si="16"/>
        <v>3</v>
      </c>
      <c r="K189" s="5">
        <f t="shared" si="17"/>
        <v>3</v>
      </c>
      <c r="L189" s="7">
        <f t="shared" si="18"/>
        <v>0.5</v>
      </c>
      <c r="M189" s="7">
        <f t="shared" si="19"/>
        <v>0</v>
      </c>
      <c r="N189" s="7">
        <f t="shared" si="20"/>
        <v>0</v>
      </c>
      <c r="O189" s="7">
        <f t="shared" si="21"/>
        <v>0</v>
      </c>
      <c r="P189" s="7">
        <f t="shared" si="22"/>
        <v>0</v>
      </c>
      <c r="Q189" s="5">
        <f t="shared" si="23"/>
        <v>0</v>
      </c>
      <c r="R189" s="7">
        <f>IF(OR(L189="",Baseline!$C$14=""),"",ABS(L189-Baseline!$C$14))</f>
        <v>0</v>
      </c>
    </row>
    <row r="190" spans="1:18" x14ac:dyDescent="0.3">
      <c r="A190" s="5">
        <v>9</v>
      </c>
      <c r="B190" s="5" t="s">
        <v>50</v>
      </c>
      <c r="C190" s="5" t="s">
        <v>51</v>
      </c>
      <c r="D190" s="5" t="s">
        <v>38</v>
      </c>
      <c r="E190" s="5" t="s">
        <v>39</v>
      </c>
      <c r="F190" s="6" t="s">
        <v>249</v>
      </c>
      <c r="G190" s="6">
        <v>0.5</v>
      </c>
      <c r="H190" s="6">
        <v>0.5</v>
      </c>
      <c r="I190" s="6">
        <v>0.5</v>
      </c>
      <c r="J190" s="5">
        <f t="shared" si="16"/>
        <v>3</v>
      </c>
      <c r="K190" s="5">
        <f t="shared" si="17"/>
        <v>3</v>
      </c>
      <c r="L190" s="7">
        <f t="shared" si="18"/>
        <v>0.5</v>
      </c>
      <c r="M190" s="7">
        <f t="shared" si="19"/>
        <v>0</v>
      </c>
      <c r="N190" s="7">
        <f t="shared" si="20"/>
        <v>0</v>
      </c>
      <c r="O190" s="7">
        <f t="shared" si="21"/>
        <v>0</v>
      </c>
      <c r="P190" s="7">
        <f t="shared" si="22"/>
        <v>0</v>
      </c>
      <c r="Q190" s="5">
        <f t="shared" si="23"/>
        <v>0</v>
      </c>
      <c r="R190" s="7">
        <f>IF(OR(L190="",Baseline!$C$14=""),"",ABS(L190-Baseline!$C$14))</f>
        <v>0</v>
      </c>
    </row>
    <row r="191" spans="1:18" x14ac:dyDescent="0.3">
      <c r="A191" s="5">
        <v>10</v>
      </c>
      <c r="B191" s="5" t="s">
        <v>50</v>
      </c>
      <c r="C191" s="5" t="s">
        <v>51</v>
      </c>
      <c r="D191" s="5" t="s">
        <v>38</v>
      </c>
      <c r="E191" s="5" t="s">
        <v>39</v>
      </c>
      <c r="F191" s="6" t="s">
        <v>250</v>
      </c>
      <c r="G191" s="6">
        <v>0.5</v>
      </c>
      <c r="H191" s="6">
        <v>0.5</v>
      </c>
      <c r="I191" s="6">
        <v>0.5</v>
      </c>
      <c r="J191" s="5">
        <f t="shared" si="16"/>
        <v>3</v>
      </c>
      <c r="K191" s="5">
        <f t="shared" si="17"/>
        <v>3</v>
      </c>
      <c r="L191" s="7">
        <f t="shared" si="18"/>
        <v>0.5</v>
      </c>
      <c r="M191" s="7">
        <f t="shared" si="19"/>
        <v>0</v>
      </c>
      <c r="N191" s="7">
        <f t="shared" si="20"/>
        <v>0</v>
      </c>
      <c r="O191" s="7">
        <f t="shared" si="21"/>
        <v>0</v>
      </c>
      <c r="P191" s="7">
        <f t="shared" si="22"/>
        <v>0</v>
      </c>
      <c r="Q191" s="5">
        <f t="shared" si="23"/>
        <v>0</v>
      </c>
      <c r="R191" s="7">
        <f>IF(OR(L191="",Baseline!$C$14=""),"",ABS(L191-Baseline!$C$14))</f>
        <v>0</v>
      </c>
    </row>
    <row r="192" spans="1:18" x14ac:dyDescent="0.3">
      <c r="A192" s="5">
        <v>11</v>
      </c>
      <c r="B192" s="5" t="s">
        <v>50</v>
      </c>
      <c r="C192" s="5" t="s">
        <v>51</v>
      </c>
      <c r="D192" s="5" t="s">
        <v>38</v>
      </c>
      <c r="E192" s="5" t="s">
        <v>39</v>
      </c>
      <c r="F192" s="6" t="s">
        <v>251</v>
      </c>
      <c r="G192" s="6">
        <v>0.5</v>
      </c>
      <c r="H192" s="6">
        <v>0.5</v>
      </c>
      <c r="I192" s="6">
        <v>0.5</v>
      </c>
      <c r="J192" s="5">
        <f t="shared" si="16"/>
        <v>3</v>
      </c>
      <c r="K192" s="5">
        <f t="shared" si="17"/>
        <v>3</v>
      </c>
      <c r="L192" s="7">
        <f t="shared" si="18"/>
        <v>0.5</v>
      </c>
      <c r="M192" s="7">
        <f t="shared" si="19"/>
        <v>0</v>
      </c>
      <c r="N192" s="7">
        <f t="shared" si="20"/>
        <v>0</v>
      </c>
      <c r="O192" s="7">
        <f t="shared" si="21"/>
        <v>0</v>
      </c>
      <c r="P192" s="7">
        <f t="shared" si="22"/>
        <v>0</v>
      </c>
      <c r="Q192" s="5">
        <f t="shared" si="23"/>
        <v>0</v>
      </c>
      <c r="R192" s="7">
        <f>IF(OR(L192="",Baseline!$C$14=""),"",ABS(L192-Baseline!$C$14))</f>
        <v>0</v>
      </c>
    </row>
    <row r="193" spans="1:18" x14ac:dyDescent="0.3">
      <c r="A193" s="5">
        <v>12</v>
      </c>
      <c r="B193" s="5" t="s">
        <v>50</v>
      </c>
      <c r="C193" s="5" t="s">
        <v>51</v>
      </c>
      <c r="D193" s="5" t="s">
        <v>38</v>
      </c>
      <c r="E193" s="5" t="s">
        <v>39</v>
      </c>
      <c r="F193" s="6" t="s">
        <v>252</v>
      </c>
      <c r="G193" s="6">
        <v>0.5</v>
      </c>
      <c r="H193" s="6">
        <v>0.5</v>
      </c>
      <c r="I193" s="6">
        <v>15</v>
      </c>
      <c r="J193" s="5">
        <f t="shared" si="16"/>
        <v>3</v>
      </c>
      <c r="K193" s="5">
        <f t="shared" si="17"/>
        <v>3</v>
      </c>
      <c r="L193" s="7">
        <f t="shared" si="18"/>
        <v>5.333333333333333</v>
      </c>
      <c r="M193" s="7">
        <f t="shared" si="19"/>
        <v>0</v>
      </c>
      <c r="N193" s="7">
        <f t="shared" si="20"/>
        <v>0</v>
      </c>
      <c r="O193" s="7">
        <f t="shared" si="21"/>
        <v>14.5</v>
      </c>
      <c r="P193" s="7">
        <f t="shared" si="22"/>
        <v>7.25</v>
      </c>
      <c r="Q193" s="5">
        <f t="shared" si="23"/>
        <v>0</v>
      </c>
      <c r="R193" s="7">
        <f>IF(OR(L193="",Baseline!$C$14=""),"",ABS(L193-Baseline!$C$14))</f>
        <v>4.833333333333333</v>
      </c>
    </row>
    <row r="194" spans="1:18" x14ac:dyDescent="0.3">
      <c r="A194" s="5">
        <v>13</v>
      </c>
      <c r="B194" s="5" t="s">
        <v>50</v>
      </c>
      <c r="C194" s="5" t="s">
        <v>51</v>
      </c>
      <c r="D194" s="5" t="s">
        <v>38</v>
      </c>
      <c r="E194" s="5" t="s">
        <v>39</v>
      </c>
      <c r="F194" s="6" t="s">
        <v>253</v>
      </c>
      <c r="G194" s="6">
        <v>0.5</v>
      </c>
      <c r="H194" s="6">
        <v>2</v>
      </c>
      <c r="I194" s="6">
        <v>0.5</v>
      </c>
      <c r="J194" s="5">
        <f t="shared" ref="J194:J241" si="24">IF(COUNTA(G194:I194)=0,"",3)</f>
        <v>3</v>
      </c>
      <c r="K194" s="5">
        <f t="shared" ref="K194:K241" si="25">IF(J194="","",COUNT(G194:I194))</f>
        <v>3</v>
      </c>
      <c r="L194" s="7">
        <f t="shared" ref="L194:L241" si="26">IF(OR(K194="",K194=0),"",AVERAGE(G194:I194))</f>
        <v>1</v>
      </c>
      <c r="M194" s="7">
        <f t="shared" ref="M194:M241" si="27">IF(K194="","",(J194-K194)/J194*100)</f>
        <v>0</v>
      </c>
      <c r="N194" s="7">
        <f t="shared" ref="N194:N241" si="28">IF(AND(ISNUMBER(G194),ISNUMBER(H194)),ABS(H194-G194),"")</f>
        <v>1.5</v>
      </c>
      <c r="O194" s="7">
        <f t="shared" ref="O194:O241" si="29">IF(AND(ISNUMBER(H194),ISNUMBER(I194)),ABS(I194-H194),"")</f>
        <v>1.5</v>
      </c>
      <c r="P194" s="7">
        <f t="shared" ref="P194:P241" si="30">IF(K194="","",IFERROR(AVERAGE(N194,O194),""))</f>
        <v>1.5</v>
      </c>
      <c r="Q194" s="5">
        <f t="shared" ref="Q194:Q241" si="31">IF(K194="","",IF(K194=0,1,0))</f>
        <v>0</v>
      </c>
      <c r="R194" s="7">
        <f>IF(OR(L194="",Baseline!$C$14=""),"",ABS(L194-Baseline!$C$14))</f>
        <v>0.5</v>
      </c>
    </row>
    <row r="195" spans="1:18" x14ac:dyDescent="0.3">
      <c r="A195" s="5">
        <v>14</v>
      </c>
      <c r="B195" s="5" t="s">
        <v>50</v>
      </c>
      <c r="C195" s="5" t="s">
        <v>51</v>
      </c>
      <c r="D195" s="5" t="s">
        <v>38</v>
      </c>
      <c r="E195" s="5" t="s">
        <v>39</v>
      </c>
      <c r="F195" s="6" t="s">
        <v>254</v>
      </c>
      <c r="G195" s="6">
        <v>0.5</v>
      </c>
      <c r="H195" s="6">
        <v>0.5</v>
      </c>
      <c r="I195" s="6">
        <v>0.5</v>
      </c>
      <c r="J195" s="5">
        <f t="shared" si="24"/>
        <v>3</v>
      </c>
      <c r="K195" s="5">
        <f t="shared" si="25"/>
        <v>3</v>
      </c>
      <c r="L195" s="7">
        <f t="shared" si="26"/>
        <v>0.5</v>
      </c>
      <c r="M195" s="7">
        <f t="shared" si="27"/>
        <v>0</v>
      </c>
      <c r="N195" s="7">
        <f t="shared" si="28"/>
        <v>0</v>
      </c>
      <c r="O195" s="7">
        <f t="shared" si="29"/>
        <v>0</v>
      </c>
      <c r="P195" s="7">
        <f t="shared" si="30"/>
        <v>0</v>
      </c>
      <c r="Q195" s="5">
        <f t="shared" si="31"/>
        <v>0</v>
      </c>
      <c r="R195" s="7">
        <f>IF(OR(L195="",Baseline!$C$14=""),"",ABS(L195-Baseline!$C$14))</f>
        <v>0</v>
      </c>
    </row>
    <row r="196" spans="1:18" x14ac:dyDescent="0.3">
      <c r="A196" s="5">
        <v>15</v>
      </c>
      <c r="B196" s="5" t="s">
        <v>50</v>
      </c>
      <c r="C196" s="5" t="s">
        <v>51</v>
      </c>
      <c r="D196" s="5" t="s">
        <v>38</v>
      </c>
      <c r="E196" s="5" t="s">
        <v>39</v>
      </c>
      <c r="F196" s="6" t="s">
        <v>255</v>
      </c>
      <c r="G196" s="6">
        <v>1</v>
      </c>
      <c r="H196" s="6">
        <v>0.5</v>
      </c>
      <c r="I196" s="6">
        <v>0.5</v>
      </c>
      <c r="J196" s="5">
        <f t="shared" si="24"/>
        <v>3</v>
      </c>
      <c r="K196" s="5">
        <f t="shared" si="25"/>
        <v>3</v>
      </c>
      <c r="L196" s="7">
        <f t="shared" si="26"/>
        <v>0.66666666666666663</v>
      </c>
      <c r="M196" s="7">
        <f t="shared" si="27"/>
        <v>0</v>
      </c>
      <c r="N196" s="7">
        <f t="shared" si="28"/>
        <v>0.5</v>
      </c>
      <c r="O196" s="7">
        <f t="shared" si="29"/>
        <v>0</v>
      </c>
      <c r="P196" s="7">
        <f t="shared" si="30"/>
        <v>0.25</v>
      </c>
      <c r="Q196" s="5">
        <f t="shared" si="31"/>
        <v>0</v>
      </c>
      <c r="R196" s="7">
        <f>IF(OR(L196="",Baseline!$C$14=""),"",ABS(L196-Baseline!$C$14))</f>
        <v>0.16666666666666663</v>
      </c>
    </row>
    <row r="197" spans="1:18" x14ac:dyDescent="0.3">
      <c r="A197" s="5">
        <v>16</v>
      </c>
      <c r="B197" s="5" t="s">
        <v>50</v>
      </c>
      <c r="C197" s="5" t="s">
        <v>51</v>
      </c>
      <c r="D197" s="5" t="s">
        <v>38</v>
      </c>
      <c r="E197" s="5" t="s">
        <v>39</v>
      </c>
      <c r="F197" s="6" t="s">
        <v>256</v>
      </c>
      <c r="G197" s="6">
        <v>0.5</v>
      </c>
      <c r="H197" s="6">
        <v>0.5</v>
      </c>
      <c r="I197" s="6">
        <v>0.5</v>
      </c>
      <c r="J197" s="5">
        <f t="shared" si="24"/>
        <v>3</v>
      </c>
      <c r="K197" s="5">
        <f t="shared" si="25"/>
        <v>3</v>
      </c>
      <c r="L197" s="7">
        <f t="shared" si="26"/>
        <v>0.5</v>
      </c>
      <c r="M197" s="7">
        <f t="shared" si="27"/>
        <v>0</v>
      </c>
      <c r="N197" s="7">
        <f t="shared" si="28"/>
        <v>0</v>
      </c>
      <c r="O197" s="7">
        <f t="shared" si="29"/>
        <v>0</v>
      </c>
      <c r="P197" s="7">
        <f t="shared" si="30"/>
        <v>0</v>
      </c>
      <c r="Q197" s="5">
        <f t="shared" si="31"/>
        <v>0</v>
      </c>
      <c r="R197" s="7">
        <f>IF(OR(L197="",Baseline!$C$14=""),"",ABS(L197-Baseline!$C$14))</f>
        <v>0</v>
      </c>
    </row>
    <row r="198" spans="1:18" x14ac:dyDescent="0.3">
      <c r="A198" s="5">
        <v>17</v>
      </c>
      <c r="B198" s="5" t="s">
        <v>50</v>
      </c>
      <c r="C198" s="5" t="s">
        <v>51</v>
      </c>
      <c r="D198" s="5" t="s">
        <v>38</v>
      </c>
      <c r="E198" s="5" t="s">
        <v>39</v>
      </c>
      <c r="F198" s="6" t="s">
        <v>257</v>
      </c>
      <c r="G198" s="6">
        <v>1</v>
      </c>
      <c r="H198" s="6">
        <v>0.5</v>
      </c>
      <c r="I198" s="6">
        <v>0.5</v>
      </c>
      <c r="J198" s="5">
        <f t="shared" si="24"/>
        <v>3</v>
      </c>
      <c r="K198" s="5">
        <f t="shared" si="25"/>
        <v>3</v>
      </c>
      <c r="L198" s="7">
        <f t="shared" si="26"/>
        <v>0.66666666666666663</v>
      </c>
      <c r="M198" s="7">
        <f t="shared" si="27"/>
        <v>0</v>
      </c>
      <c r="N198" s="7">
        <f t="shared" si="28"/>
        <v>0.5</v>
      </c>
      <c r="O198" s="7">
        <f t="shared" si="29"/>
        <v>0</v>
      </c>
      <c r="P198" s="7">
        <f t="shared" si="30"/>
        <v>0.25</v>
      </c>
      <c r="Q198" s="5">
        <f t="shared" si="31"/>
        <v>0</v>
      </c>
      <c r="R198" s="7">
        <f>IF(OR(L198="",Baseline!$C$14=""),"",ABS(L198-Baseline!$C$14))</f>
        <v>0.16666666666666663</v>
      </c>
    </row>
    <row r="199" spans="1:18" x14ac:dyDescent="0.3">
      <c r="A199" s="5">
        <v>18</v>
      </c>
      <c r="B199" s="5" t="s">
        <v>50</v>
      </c>
      <c r="C199" s="5" t="s">
        <v>51</v>
      </c>
      <c r="D199" s="5" t="s">
        <v>38</v>
      </c>
      <c r="E199" s="5" t="s">
        <v>39</v>
      </c>
      <c r="F199" s="6" t="s">
        <v>258</v>
      </c>
      <c r="G199" s="6">
        <v>0.5</v>
      </c>
      <c r="H199" s="6">
        <v>0.5</v>
      </c>
      <c r="I199" s="6">
        <v>0.5</v>
      </c>
      <c r="J199" s="5">
        <f t="shared" si="24"/>
        <v>3</v>
      </c>
      <c r="K199" s="5">
        <f t="shared" si="25"/>
        <v>3</v>
      </c>
      <c r="L199" s="7">
        <f t="shared" si="26"/>
        <v>0.5</v>
      </c>
      <c r="M199" s="7">
        <f t="shared" si="27"/>
        <v>0</v>
      </c>
      <c r="N199" s="7">
        <f t="shared" si="28"/>
        <v>0</v>
      </c>
      <c r="O199" s="7">
        <f t="shared" si="29"/>
        <v>0</v>
      </c>
      <c r="P199" s="7">
        <f t="shared" si="30"/>
        <v>0</v>
      </c>
      <c r="Q199" s="5">
        <f t="shared" si="31"/>
        <v>0</v>
      </c>
      <c r="R199" s="7">
        <f>IF(OR(L199="",Baseline!$C$14=""),"",ABS(L199-Baseline!$C$14))</f>
        <v>0</v>
      </c>
    </row>
    <row r="200" spans="1:18" x14ac:dyDescent="0.3">
      <c r="A200" s="5">
        <v>19</v>
      </c>
      <c r="B200" s="5" t="s">
        <v>50</v>
      </c>
      <c r="C200" s="5" t="s">
        <v>51</v>
      </c>
      <c r="D200" s="5" t="s">
        <v>38</v>
      </c>
      <c r="E200" s="5" t="s">
        <v>39</v>
      </c>
      <c r="F200" s="6" t="s">
        <v>259</v>
      </c>
      <c r="G200" s="6">
        <v>12</v>
      </c>
      <c r="H200" s="6">
        <v>0.5</v>
      </c>
      <c r="I200" s="6">
        <v>0.5</v>
      </c>
      <c r="J200" s="5">
        <f t="shared" si="24"/>
        <v>3</v>
      </c>
      <c r="K200" s="5">
        <f t="shared" si="25"/>
        <v>3</v>
      </c>
      <c r="L200" s="7">
        <f t="shared" si="26"/>
        <v>4.333333333333333</v>
      </c>
      <c r="M200" s="7">
        <f t="shared" si="27"/>
        <v>0</v>
      </c>
      <c r="N200" s="7">
        <f t="shared" si="28"/>
        <v>11.5</v>
      </c>
      <c r="O200" s="7">
        <f t="shared" si="29"/>
        <v>0</v>
      </c>
      <c r="P200" s="7">
        <f t="shared" si="30"/>
        <v>5.75</v>
      </c>
      <c r="Q200" s="5">
        <f t="shared" si="31"/>
        <v>0</v>
      </c>
      <c r="R200" s="7">
        <f>IF(OR(L200="",Baseline!$C$14=""),"",ABS(L200-Baseline!$C$14))</f>
        <v>3.833333333333333</v>
      </c>
    </row>
    <row r="201" spans="1:18" x14ac:dyDescent="0.3">
      <c r="A201" s="5">
        <v>20</v>
      </c>
      <c r="B201" s="5" t="s">
        <v>50</v>
      </c>
      <c r="C201" s="5" t="s">
        <v>51</v>
      </c>
      <c r="D201" s="5" t="s">
        <v>38</v>
      </c>
      <c r="E201" s="5" t="s">
        <v>39</v>
      </c>
      <c r="F201" s="6" t="s">
        <v>260</v>
      </c>
      <c r="G201" s="6">
        <v>0.5</v>
      </c>
      <c r="H201" s="6">
        <v>0.5</v>
      </c>
      <c r="I201" s="6">
        <v>0.5</v>
      </c>
      <c r="J201" s="5">
        <f t="shared" si="24"/>
        <v>3</v>
      </c>
      <c r="K201" s="5">
        <f t="shared" si="25"/>
        <v>3</v>
      </c>
      <c r="L201" s="7">
        <f t="shared" si="26"/>
        <v>0.5</v>
      </c>
      <c r="M201" s="7">
        <f t="shared" si="27"/>
        <v>0</v>
      </c>
      <c r="N201" s="7">
        <f t="shared" si="28"/>
        <v>0</v>
      </c>
      <c r="O201" s="7">
        <f t="shared" si="29"/>
        <v>0</v>
      </c>
      <c r="P201" s="7">
        <f t="shared" si="30"/>
        <v>0</v>
      </c>
      <c r="Q201" s="5">
        <f t="shared" si="31"/>
        <v>0</v>
      </c>
      <c r="R201" s="7">
        <f>IF(OR(L201="",Baseline!$C$14=""),"",ABS(L201-Baseline!$C$14))</f>
        <v>0</v>
      </c>
    </row>
    <row r="202" spans="1:18" x14ac:dyDescent="0.3">
      <c r="A202" s="5">
        <v>1</v>
      </c>
      <c r="B202" s="5" t="s">
        <v>52</v>
      </c>
      <c r="C202" s="5" t="s">
        <v>53</v>
      </c>
      <c r="D202" s="5" t="s">
        <v>38</v>
      </c>
      <c r="E202" s="5" t="s">
        <v>39</v>
      </c>
      <c r="F202" s="6" t="s">
        <v>261</v>
      </c>
      <c r="G202" s="6" t="s">
        <v>102</v>
      </c>
      <c r="H202" s="6">
        <v>23</v>
      </c>
      <c r="I202" s="6">
        <v>1</v>
      </c>
      <c r="J202" s="5">
        <f t="shared" si="24"/>
        <v>3</v>
      </c>
      <c r="K202" s="5">
        <f t="shared" si="25"/>
        <v>2</v>
      </c>
      <c r="L202" s="7">
        <f t="shared" si="26"/>
        <v>12</v>
      </c>
      <c r="M202" s="7">
        <f t="shared" si="27"/>
        <v>33.333333333333329</v>
      </c>
      <c r="N202" s="7" t="str">
        <f t="shared" si="28"/>
        <v/>
      </c>
      <c r="O202" s="7">
        <f t="shared" si="29"/>
        <v>22</v>
      </c>
      <c r="P202" s="7">
        <f t="shared" si="30"/>
        <v>22</v>
      </c>
      <c r="Q202" s="5">
        <f t="shared" si="31"/>
        <v>0</v>
      </c>
      <c r="R202" s="7">
        <f>IF(OR(L202="",Baseline!$C$15=""),"",ABS(L202-Baseline!$C$15))</f>
        <v>11.5</v>
      </c>
    </row>
    <row r="203" spans="1:18" x14ac:dyDescent="0.3">
      <c r="A203" s="5">
        <v>2</v>
      </c>
      <c r="B203" s="5" t="s">
        <v>52</v>
      </c>
      <c r="C203" s="5" t="s">
        <v>53</v>
      </c>
      <c r="D203" s="5" t="s">
        <v>38</v>
      </c>
      <c r="E203" s="5" t="s">
        <v>39</v>
      </c>
      <c r="F203" s="6" t="s">
        <v>262</v>
      </c>
      <c r="G203" s="6">
        <v>7</v>
      </c>
      <c r="H203" s="6">
        <v>0.5</v>
      </c>
      <c r="I203" s="6">
        <v>0.5</v>
      </c>
      <c r="J203" s="5">
        <f t="shared" si="24"/>
        <v>3</v>
      </c>
      <c r="K203" s="5">
        <f t="shared" si="25"/>
        <v>3</v>
      </c>
      <c r="L203" s="7">
        <f t="shared" si="26"/>
        <v>2.6666666666666665</v>
      </c>
      <c r="M203" s="7">
        <f t="shared" si="27"/>
        <v>0</v>
      </c>
      <c r="N203" s="7">
        <f t="shared" si="28"/>
        <v>6.5</v>
      </c>
      <c r="O203" s="7">
        <f t="shared" si="29"/>
        <v>0</v>
      </c>
      <c r="P203" s="7">
        <f t="shared" si="30"/>
        <v>3.25</v>
      </c>
      <c r="Q203" s="5">
        <f t="shared" si="31"/>
        <v>0</v>
      </c>
      <c r="R203" s="7">
        <f>IF(OR(L203="",Baseline!$C$15=""),"",ABS(L203-Baseline!$C$15))</f>
        <v>2.1666666666666665</v>
      </c>
    </row>
    <row r="204" spans="1:18" x14ac:dyDescent="0.3">
      <c r="A204" s="5">
        <v>3</v>
      </c>
      <c r="B204" s="5" t="s">
        <v>52</v>
      </c>
      <c r="C204" s="5" t="s">
        <v>53</v>
      </c>
      <c r="D204" s="5" t="s">
        <v>38</v>
      </c>
      <c r="E204" s="5" t="s">
        <v>39</v>
      </c>
      <c r="F204" s="6" t="s">
        <v>263</v>
      </c>
      <c r="G204" s="6">
        <v>0.5</v>
      </c>
      <c r="H204" s="6">
        <v>1</v>
      </c>
      <c r="I204" s="6">
        <v>0.5</v>
      </c>
      <c r="J204" s="5">
        <f t="shared" si="24"/>
        <v>3</v>
      </c>
      <c r="K204" s="5">
        <f t="shared" si="25"/>
        <v>3</v>
      </c>
      <c r="L204" s="7">
        <f t="shared" si="26"/>
        <v>0.66666666666666663</v>
      </c>
      <c r="M204" s="7">
        <f t="shared" si="27"/>
        <v>0</v>
      </c>
      <c r="N204" s="7">
        <f t="shared" si="28"/>
        <v>0.5</v>
      </c>
      <c r="O204" s="7">
        <f t="shared" si="29"/>
        <v>0.5</v>
      </c>
      <c r="P204" s="7">
        <f t="shared" si="30"/>
        <v>0.5</v>
      </c>
      <c r="Q204" s="5">
        <f t="shared" si="31"/>
        <v>0</v>
      </c>
      <c r="R204" s="7">
        <f>IF(OR(L204="",Baseline!$C$15=""),"",ABS(L204-Baseline!$C$15))</f>
        <v>0.16666666666666663</v>
      </c>
    </row>
    <row r="205" spans="1:18" x14ac:dyDescent="0.3">
      <c r="A205" s="5">
        <v>4</v>
      </c>
      <c r="B205" s="5" t="s">
        <v>52</v>
      </c>
      <c r="C205" s="5" t="s">
        <v>53</v>
      </c>
      <c r="D205" s="5" t="s">
        <v>38</v>
      </c>
      <c r="E205" s="5" t="s">
        <v>39</v>
      </c>
      <c r="F205" s="6" t="s">
        <v>264</v>
      </c>
      <c r="G205" s="6">
        <v>1</v>
      </c>
      <c r="H205" s="6">
        <v>0.5</v>
      </c>
      <c r="I205" s="6">
        <v>0.5</v>
      </c>
      <c r="J205" s="5">
        <f t="shared" si="24"/>
        <v>3</v>
      </c>
      <c r="K205" s="5">
        <f t="shared" si="25"/>
        <v>3</v>
      </c>
      <c r="L205" s="7">
        <f t="shared" si="26"/>
        <v>0.66666666666666663</v>
      </c>
      <c r="M205" s="7">
        <f t="shared" si="27"/>
        <v>0</v>
      </c>
      <c r="N205" s="7">
        <f t="shared" si="28"/>
        <v>0.5</v>
      </c>
      <c r="O205" s="7">
        <f t="shared" si="29"/>
        <v>0</v>
      </c>
      <c r="P205" s="7">
        <f t="shared" si="30"/>
        <v>0.25</v>
      </c>
      <c r="Q205" s="5">
        <f t="shared" si="31"/>
        <v>0</v>
      </c>
      <c r="R205" s="7">
        <f>IF(OR(L205="",Baseline!$C$15=""),"",ABS(L205-Baseline!$C$15))</f>
        <v>0.16666666666666663</v>
      </c>
    </row>
    <row r="206" spans="1:18" x14ac:dyDescent="0.3">
      <c r="A206" s="5">
        <v>5</v>
      </c>
      <c r="B206" s="5" t="s">
        <v>52</v>
      </c>
      <c r="C206" s="5" t="s">
        <v>53</v>
      </c>
      <c r="D206" s="5" t="s">
        <v>38</v>
      </c>
      <c r="E206" s="5" t="s">
        <v>39</v>
      </c>
      <c r="F206" s="6" t="s">
        <v>265</v>
      </c>
      <c r="G206" s="6">
        <v>0.5</v>
      </c>
      <c r="H206" s="6">
        <v>0.5</v>
      </c>
      <c r="I206" s="6">
        <v>0.5</v>
      </c>
      <c r="J206" s="5">
        <f t="shared" si="24"/>
        <v>3</v>
      </c>
      <c r="K206" s="5">
        <f t="shared" si="25"/>
        <v>3</v>
      </c>
      <c r="L206" s="7">
        <f t="shared" si="26"/>
        <v>0.5</v>
      </c>
      <c r="M206" s="7">
        <f t="shared" si="27"/>
        <v>0</v>
      </c>
      <c r="N206" s="7">
        <f t="shared" si="28"/>
        <v>0</v>
      </c>
      <c r="O206" s="7">
        <f t="shared" si="29"/>
        <v>0</v>
      </c>
      <c r="P206" s="7">
        <f t="shared" si="30"/>
        <v>0</v>
      </c>
      <c r="Q206" s="5">
        <f t="shared" si="31"/>
        <v>0</v>
      </c>
      <c r="R206" s="7">
        <f>IF(OR(L206="",Baseline!$C$15=""),"",ABS(L206-Baseline!$C$15))</f>
        <v>0</v>
      </c>
    </row>
    <row r="207" spans="1:18" x14ac:dyDescent="0.3">
      <c r="A207" s="5">
        <v>6</v>
      </c>
      <c r="B207" s="5" t="s">
        <v>52</v>
      </c>
      <c r="C207" s="5" t="s">
        <v>53</v>
      </c>
      <c r="D207" s="5" t="s">
        <v>38</v>
      </c>
      <c r="E207" s="5" t="s">
        <v>39</v>
      </c>
      <c r="F207" s="6" t="s">
        <v>266</v>
      </c>
      <c r="G207" s="6">
        <v>0.5</v>
      </c>
      <c r="H207" s="6">
        <v>0.5</v>
      </c>
      <c r="I207" s="6">
        <v>0.5</v>
      </c>
      <c r="J207" s="5">
        <f t="shared" si="24"/>
        <v>3</v>
      </c>
      <c r="K207" s="5">
        <f t="shared" si="25"/>
        <v>3</v>
      </c>
      <c r="L207" s="7">
        <f t="shared" si="26"/>
        <v>0.5</v>
      </c>
      <c r="M207" s="7">
        <f t="shared" si="27"/>
        <v>0</v>
      </c>
      <c r="N207" s="7">
        <f t="shared" si="28"/>
        <v>0</v>
      </c>
      <c r="O207" s="7">
        <f t="shared" si="29"/>
        <v>0</v>
      </c>
      <c r="P207" s="7">
        <f t="shared" si="30"/>
        <v>0</v>
      </c>
      <c r="Q207" s="5">
        <f t="shared" si="31"/>
        <v>0</v>
      </c>
      <c r="R207" s="7">
        <f>IF(OR(L207="",Baseline!$C$15=""),"",ABS(L207-Baseline!$C$15))</f>
        <v>0</v>
      </c>
    </row>
    <row r="208" spans="1:18" x14ac:dyDescent="0.3">
      <c r="A208" s="5">
        <v>7</v>
      </c>
      <c r="B208" s="5" t="s">
        <v>52</v>
      </c>
      <c r="C208" s="5" t="s">
        <v>53</v>
      </c>
      <c r="D208" s="5" t="s">
        <v>38</v>
      </c>
      <c r="E208" s="5" t="s">
        <v>39</v>
      </c>
      <c r="F208" s="6" t="s">
        <v>267</v>
      </c>
      <c r="G208" s="6">
        <v>0.5</v>
      </c>
      <c r="H208" s="6">
        <v>0.5</v>
      </c>
      <c r="I208" s="6">
        <v>0.5</v>
      </c>
      <c r="J208" s="5">
        <f t="shared" si="24"/>
        <v>3</v>
      </c>
      <c r="K208" s="5">
        <f t="shared" si="25"/>
        <v>3</v>
      </c>
      <c r="L208" s="7">
        <f t="shared" si="26"/>
        <v>0.5</v>
      </c>
      <c r="M208" s="7">
        <f t="shared" si="27"/>
        <v>0</v>
      </c>
      <c r="N208" s="7">
        <f t="shared" si="28"/>
        <v>0</v>
      </c>
      <c r="O208" s="7">
        <f t="shared" si="29"/>
        <v>0</v>
      </c>
      <c r="P208" s="7">
        <f t="shared" si="30"/>
        <v>0</v>
      </c>
      <c r="Q208" s="5">
        <f t="shared" si="31"/>
        <v>0</v>
      </c>
      <c r="R208" s="7">
        <f>IF(OR(L208="",Baseline!$C$15=""),"",ABS(L208-Baseline!$C$15))</f>
        <v>0</v>
      </c>
    </row>
    <row r="209" spans="1:18" x14ac:dyDescent="0.3">
      <c r="A209" s="5">
        <v>8</v>
      </c>
      <c r="B209" s="5" t="s">
        <v>52</v>
      </c>
      <c r="C209" s="5" t="s">
        <v>53</v>
      </c>
      <c r="D209" s="5" t="s">
        <v>38</v>
      </c>
      <c r="E209" s="5" t="s">
        <v>39</v>
      </c>
      <c r="F209" s="6" t="s">
        <v>268</v>
      </c>
      <c r="G209" s="6">
        <v>0.5</v>
      </c>
      <c r="H209" s="6">
        <v>0.5</v>
      </c>
      <c r="I209" s="6">
        <v>0.5</v>
      </c>
      <c r="J209" s="5">
        <f t="shared" si="24"/>
        <v>3</v>
      </c>
      <c r="K209" s="5">
        <f t="shared" si="25"/>
        <v>3</v>
      </c>
      <c r="L209" s="7">
        <f t="shared" si="26"/>
        <v>0.5</v>
      </c>
      <c r="M209" s="7">
        <f t="shared" si="27"/>
        <v>0</v>
      </c>
      <c r="N209" s="7">
        <f t="shared" si="28"/>
        <v>0</v>
      </c>
      <c r="O209" s="7">
        <f t="shared" si="29"/>
        <v>0</v>
      </c>
      <c r="P209" s="7">
        <f t="shared" si="30"/>
        <v>0</v>
      </c>
      <c r="Q209" s="5">
        <f t="shared" si="31"/>
        <v>0</v>
      </c>
      <c r="R209" s="7">
        <f>IF(OR(L209="",Baseline!$C$15=""),"",ABS(L209-Baseline!$C$15))</f>
        <v>0</v>
      </c>
    </row>
    <row r="210" spans="1:18" x14ac:dyDescent="0.3">
      <c r="A210" s="5">
        <v>9</v>
      </c>
      <c r="B210" s="5" t="s">
        <v>52</v>
      </c>
      <c r="C210" s="5" t="s">
        <v>53</v>
      </c>
      <c r="D210" s="5" t="s">
        <v>38</v>
      </c>
      <c r="E210" s="5" t="s">
        <v>39</v>
      </c>
      <c r="F210" s="6" t="s">
        <v>269</v>
      </c>
      <c r="G210" s="6">
        <v>0.5</v>
      </c>
      <c r="H210" s="6">
        <v>0.5</v>
      </c>
      <c r="I210" s="6">
        <v>0.5</v>
      </c>
      <c r="J210" s="5">
        <f t="shared" si="24"/>
        <v>3</v>
      </c>
      <c r="K210" s="5">
        <f t="shared" si="25"/>
        <v>3</v>
      </c>
      <c r="L210" s="7">
        <f t="shared" si="26"/>
        <v>0.5</v>
      </c>
      <c r="M210" s="7">
        <f t="shared" si="27"/>
        <v>0</v>
      </c>
      <c r="N210" s="7">
        <f t="shared" si="28"/>
        <v>0</v>
      </c>
      <c r="O210" s="7">
        <f t="shared" si="29"/>
        <v>0</v>
      </c>
      <c r="P210" s="7">
        <f t="shared" si="30"/>
        <v>0</v>
      </c>
      <c r="Q210" s="5">
        <f t="shared" si="31"/>
        <v>0</v>
      </c>
      <c r="R210" s="7">
        <f>IF(OR(L210="",Baseline!$C$15=""),"",ABS(L210-Baseline!$C$15))</f>
        <v>0</v>
      </c>
    </row>
    <row r="211" spans="1:18" x14ac:dyDescent="0.3">
      <c r="A211" s="5">
        <v>10</v>
      </c>
      <c r="B211" s="5" t="s">
        <v>52</v>
      </c>
      <c r="C211" s="5" t="s">
        <v>53</v>
      </c>
      <c r="D211" s="5" t="s">
        <v>38</v>
      </c>
      <c r="E211" s="5" t="s">
        <v>39</v>
      </c>
      <c r="F211" s="6" t="s">
        <v>270</v>
      </c>
      <c r="G211" s="6">
        <v>0.5</v>
      </c>
      <c r="H211" s="6">
        <v>0.5</v>
      </c>
      <c r="I211" s="6">
        <v>0.5</v>
      </c>
      <c r="J211" s="5">
        <f t="shared" si="24"/>
        <v>3</v>
      </c>
      <c r="K211" s="5">
        <f t="shared" si="25"/>
        <v>3</v>
      </c>
      <c r="L211" s="7">
        <f t="shared" si="26"/>
        <v>0.5</v>
      </c>
      <c r="M211" s="7">
        <f t="shared" si="27"/>
        <v>0</v>
      </c>
      <c r="N211" s="7">
        <f t="shared" si="28"/>
        <v>0</v>
      </c>
      <c r="O211" s="7">
        <f t="shared" si="29"/>
        <v>0</v>
      </c>
      <c r="P211" s="7">
        <f t="shared" si="30"/>
        <v>0</v>
      </c>
      <c r="Q211" s="5">
        <f t="shared" si="31"/>
        <v>0</v>
      </c>
      <c r="R211" s="7">
        <f>IF(OR(L211="",Baseline!$C$15=""),"",ABS(L211-Baseline!$C$15))</f>
        <v>0</v>
      </c>
    </row>
    <row r="212" spans="1:18" x14ac:dyDescent="0.3">
      <c r="A212" s="5">
        <v>11</v>
      </c>
      <c r="B212" s="5" t="s">
        <v>52</v>
      </c>
      <c r="C212" s="5" t="s">
        <v>53</v>
      </c>
      <c r="D212" s="5" t="s">
        <v>38</v>
      </c>
      <c r="E212" s="5" t="s">
        <v>39</v>
      </c>
      <c r="F212" s="6" t="s">
        <v>271</v>
      </c>
      <c r="G212" s="6">
        <v>0.5</v>
      </c>
      <c r="H212" s="6">
        <v>0.5</v>
      </c>
      <c r="I212" s="6">
        <v>1</v>
      </c>
      <c r="J212" s="5">
        <f t="shared" si="24"/>
        <v>3</v>
      </c>
      <c r="K212" s="5">
        <f t="shared" si="25"/>
        <v>3</v>
      </c>
      <c r="L212" s="7">
        <f t="shared" si="26"/>
        <v>0.66666666666666663</v>
      </c>
      <c r="M212" s="7">
        <f t="shared" si="27"/>
        <v>0</v>
      </c>
      <c r="N212" s="7">
        <f t="shared" si="28"/>
        <v>0</v>
      </c>
      <c r="O212" s="7">
        <f t="shared" si="29"/>
        <v>0.5</v>
      </c>
      <c r="P212" s="7">
        <f t="shared" si="30"/>
        <v>0.25</v>
      </c>
      <c r="Q212" s="5">
        <f t="shared" si="31"/>
        <v>0</v>
      </c>
      <c r="R212" s="7">
        <f>IF(OR(L212="",Baseline!$C$15=""),"",ABS(L212-Baseline!$C$15))</f>
        <v>0.16666666666666663</v>
      </c>
    </row>
    <row r="213" spans="1:18" x14ac:dyDescent="0.3">
      <c r="A213" s="5">
        <v>12</v>
      </c>
      <c r="B213" s="5" t="s">
        <v>52</v>
      </c>
      <c r="C213" s="5" t="s">
        <v>53</v>
      </c>
      <c r="D213" s="5" t="s">
        <v>38</v>
      </c>
      <c r="E213" s="5" t="s">
        <v>39</v>
      </c>
      <c r="F213" s="6" t="s">
        <v>272</v>
      </c>
      <c r="G213" s="6">
        <v>0.5</v>
      </c>
      <c r="H213" s="6">
        <v>0.5</v>
      </c>
      <c r="I213" s="6">
        <v>0.5</v>
      </c>
      <c r="J213" s="5">
        <f t="shared" si="24"/>
        <v>3</v>
      </c>
      <c r="K213" s="5">
        <f t="shared" si="25"/>
        <v>3</v>
      </c>
      <c r="L213" s="7">
        <f t="shared" si="26"/>
        <v>0.5</v>
      </c>
      <c r="M213" s="7">
        <f t="shared" si="27"/>
        <v>0</v>
      </c>
      <c r="N213" s="7">
        <f t="shared" si="28"/>
        <v>0</v>
      </c>
      <c r="O213" s="7">
        <f t="shared" si="29"/>
        <v>0</v>
      </c>
      <c r="P213" s="7">
        <f t="shared" si="30"/>
        <v>0</v>
      </c>
      <c r="Q213" s="5">
        <f t="shared" si="31"/>
        <v>0</v>
      </c>
      <c r="R213" s="7">
        <f>IF(OR(L213="",Baseline!$C$15=""),"",ABS(L213-Baseline!$C$15))</f>
        <v>0</v>
      </c>
    </row>
    <row r="214" spans="1:18" x14ac:dyDescent="0.3">
      <c r="A214" s="5">
        <v>13</v>
      </c>
      <c r="B214" s="5" t="s">
        <v>52</v>
      </c>
      <c r="C214" s="5" t="s">
        <v>53</v>
      </c>
      <c r="D214" s="5" t="s">
        <v>38</v>
      </c>
      <c r="E214" s="5" t="s">
        <v>39</v>
      </c>
      <c r="F214" s="6" t="s">
        <v>273</v>
      </c>
      <c r="G214" s="6">
        <v>1</v>
      </c>
      <c r="H214" s="6">
        <v>0.5</v>
      </c>
      <c r="I214" s="6">
        <v>15</v>
      </c>
      <c r="J214" s="5">
        <f t="shared" si="24"/>
        <v>3</v>
      </c>
      <c r="K214" s="5">
        <f t="shared" si="25"/>
        <v>3</v>
      </c>
      <c r="L214" s="7">
        <f t="shared" si="26"/>
        <v>5.5</v>
      </c>
      <c r="M214" s="7">
        <f t="shared" si="27"/>
        <v>0</v>
      </c>
      <c r="N214" s="7">
        <f t="shared" si="28"/>
        <v>0.5</v>
      </c>
      <c r="O214" s="7">
        <f t="shared" si="29"/>
        <v>14.5</v>
      </c>
      <c r="P214" s="7">
        <f t="shared" si="30"/>
        <v>7.5</v>
      </c>
      <c r="Q214" s="5">
        <f t="shared" si="31"/>
        <v>0</v>
      </c>
      <c r="R214" s="7">
        <f>IF(OR(L214="",Baseline!$C$15=""),"",ABS(L214-Baseline!$C$15))</f>
        <v>5</v>
      </c>
    </row>
    <row r="215" spans="1:18" x14ac:dyDescent="0.3">
      <c r="A215" s="5">
        <v>14</v>
      </c>
      <c r="B215" s="5" t="s">
        <v>52</v>
      </c>
      <c r="C215" s="5" t="s">
        <v>53</v>
      </c>
      <c r="D215" s="5" t="s">
        <v>38</v>
      </c>
      <c r="E215" s="5" t="s">
        <v>39</v>
      </c>
      <c r="F215" s="6" t="s">
        <v>274</v>
      </c>
      <c r="G215" s="6">
        <v>0.5</v>
      </c>
      <c r="H215" s="6">
        <v>0.5</v>
      </c>
      <c r="I215" s="6">
        <v>0.5</v>
      </c>
      <c r="J215" s="5">
        <f t="shared" si="24"/>
        <v>3</v>
      </c>
      <c r="K215" s="5">
        <f t="shared" si="25"/>
        <v>3</v>
      </c>
      <c r="L215" s="7">
        <f t="shared" si="26"/>
        <v>0.5</v>
      </c>
      <c r="M215" s="7">
        <f t="shared" si="27"/>
        <v>0</v>
      </c>
      <c r="N215" s="7">
        <f t="shared" si="28"/>
        <v>0</v>
      </c>
      <c r="O215" s="7">
        <f t="shared" si="29"/>
        <v>0</v>
      </c>
      <c r="P215" s="7">
        <f t="shared" si="30"/>
        <v>0</v>
      </c>
      <c r="Q215" s="5">
        <f t="shared" si="31"/>
        <v>0</v>
      </c>
      <c r="R215" s="7">
        <f>IF(OR(L215="",Baseline!$C$15=""),"",ABS(L215-Baseline!$C$15))</f>
        <v>0</v>
      </c>
    </row>
    <row r="216" spans="1:18" x14ac:dyDescent="0.3">
      <c r="A216" s="5">
        <v>15</v>
      </c>
      <c r="B216" s="5" t="s">
        <v>52</v>
      </c>
      <c r="C216" s="5" t="s">
        <v>53</v>
      </c>
      <c r="D216" s="5" t="s">
        <v>38</v>
      </c>
      <c r="E216" s="5" t="s">
        <v>39</v>
      </c>
      <c r="F216" s="6" t="s">
        <v>275</v>
      </c>
      <c r="G216" s="6">
        <v>0.5</v>
      </c>
      <c r="H216" s="6">
        <v>0.5</v>
      </c>
      <c r="I216" s="6">
        <v>0.5</v>
      </c>
      <c r="J216" s="5">
        <f t="shared" si="24"/>
        <v>3</v>
      </c>
      <c r="K216" s="5">
        <f t="shared" si="25"/>
        <v>3</v>
      </c>
      <c r="L216" s="7">
        <f t="shared" si="26"/>
        <v>0.5</v>
      </c>
      <c r="M216" s="7">
        <f t="shared" si="27"/>
        <v>0</v>
      </c>
      <c r="N216" s="7">
        <f t="shared" si="28"/>
        <v>0</v>
      </c>
      <c r="O216" s="7">
        <f t="shared" si="29"/>
        <v>0</v>
      </c>
      <c r="P216" s="7">
        <f t="shared" si="30"/>
        <v>0</v>
      </c>
      <c r="Q216" s="5">
        <f t="shared" si="31"/>
        <v>0</v>
      </c>
      <c r="R216" s="7">
        <f>IF(OR(L216="",Baseline!$C$15=""),"",ABS(L216-Baseline!$C$15))</f>
        <v>0</v>
      </c>
    </row>
    <row r="217" spans="1:18" x14ac:dyDescent="0.3">
      <c r="A217" s="5">
        <v>16</v>
      </c>
      <c r="B217" s="5" t="s">
        <v>52</v>
      </c>
      <c r="C217" s="5" t="s">
        <v>53</v>
      </c>
      <c r="D217" s="5" t="s">
        <v>38</v>
      </c>
      <c r="E217" s="5" t="s">
        <v>39</v>
      </c>
      <c r="F217" s="6" t="s">
        <v>276</v>
      </c>
      <c r="G217" s="6">
        <v>0.5</v>
      </c>
      <c r="H217" s="6">
        <v>0.5</v>
      </c>
      <c r="I217" s="6">
        <v>1</v>
      </c>
      <c r="J217" s="5">
        <f t="shared" si="24"/>
        <v>3</v>
      </c>
      <c r="K217" s="5">
        <f t="shared" si="25"/>
        <v>3</v>
      </c>
      <c r="L217" s="7">
        <f t="shared" si="26"/>
        <v>0.66666666666666663</v>
      </c>
      <c r="M217" s="7">
        <f t="shared" si="27"/>
        <v>0</v>
      </c>
      <c r="N217" s="7">
        <f t="shared" si="28"/>
        <v>0</v>
      </c>
      <c r="O217" s="7">
        <f t="shared" si="29"/>
        <v>0.5</v>
      </c>
      <c r="P217" s="7">
        <f t="shared" si="30"/>
        <v>0.25</v>
      </c>
      <c r="Q217" s="5">
        <f t="shared" si="31"/>
        <v>0</v>
      </c>
      <c r="R217" s="7">
        <f>IF(OR(L217="",Baseline!$C$15=""),"",ABS(L217-Baseline!$C$15))</f>
        <v>0.16666666666666663</v>
      </c>
    </row>
    <row r="218" spans="1:18" x14ac:dyDescent="0.3">
      <c r="A218" s="5">
        <v>17</v>
      </c>
      <c r="B218" s="5" t="s">
        <v>52</v>
      </c>
      <c r="C218" s="5" t="s">
        <v>53</v>
      </c>
      <c r="D218" s="5" t="s">
        <v>38</v>
      </c>
      <c r="E218" s="5" t="s">
        <v>39</v>
      </c>
      <c r="F218" s="6" t="s">
        <v>277</v>
      </c>
      <c r="G218" s="6">
        <v>0.5</v>
      </c>
      <c r="H218" s="6">
        <v>0.5</v>
      </c>
      <c r="I218" s="6">
        <v>0.5</v>
      </c>
      <c r="J218" s="5">
        <f t="shared" si="24"/>
        <v>3</v>
      </c>
      <c r="K218" s="5">
        <f t="shared" si="25"/>
        <v>3</v>
      </c>
      <c r="L218" s="7">
        <f t="shared" si="26"/>
        <v>0.5</v>
      </c>
      <c r="M218" s="7">
        <f t="shared" si="27"/>
        <v>0</v>
      </c>
      <c r="N218" s="7">
        <f t="shared" si="28"/>
        <v>0</v>
      </c>
      <c r="O218" s="7">
        <f t="shared" si="29"/>
        <v>0</v>
      </c>
      <c r="P218" s="7">
        <f t="shared" si="30"/>
        <v>0</v>
      </c>
      <c r="Q218" s="5">
        <f t="shared" si="31"/>
        <v>0</v>
      </c>
      <c r="R218" s="7">
        <f>IF(OR(L218="",Baseline!$C$15=""),"",ABS(L218-Baseline!$C$15))</f>
        <v>0</v>
      </c>
    </row>
    <row r="219" spans="1:18" x14ac:dyDescent="0.3">
      <c r="A219" s="5">
        <v>18</v>
      </c>
      <c r="B219" s="5" t="s">
        <v>52</v>
      </c>
      <c r="C219" s="5" t="s">
        <v>53</v>
      </c>
      <c r="D219" s="5" t="s">
        <v>38</v>
      </c>
      <c r="E219" s="5" t="s">
        <v>39</v>
      </c>
      <c r="F219" s="6" t="s">
        <v>278</v>
      </c>
      <c r="G219" s="6">
        <v>0.5</v>
      </c>
      <c r="H219" s="6">
        <v>0.5</v>
      </c>
      <c r="I219" s="6">
        <v>1</v>
      </c>
      <c r="J219" s="5">
        <f t="shared" si="24"/>
        <v>3</v>
      </c>
      <c r="K219" s="5">
        <f t="shared" si="25"/>
        <v>3</v>
      </c>
      <c r="L219" s="7">
        <f t="shared" si="26"/>
        <v>0.66666666666666663</v>
      </c>
      <c r="M219" s="7">
        <f t="shared" si="27"/>
        <v>0</v>
      </c>
      <c r="N219" s="7">
        <f t="shared" si="28"/>
        <v>0</v>
      </c>
      <c r="O219" s="7">
        <f t="shared" si="29"/>
        <v>0.5</v>
      </c>
      <c r="P219" s="7">
        <f t="shared" si="30"/>
        <v>0.25</v>
      </c>
      <c r="Q219" s="5">
        <f t="shared" si="31"/>
        <v>0</v>
      </c>
      <c r="R219" s="7">
        <f>IF(OR(L219="",Baseline!$C$15=""),"",ABS(L219-Baseline!$C$15))</f>
        <v>0.16666666666666663</v>
      </c>
    </row>
    <row r="220" spans="1:18" x14ac:dyDescent="0.3">
      <c r="A220" s="5">
        <v>19</v>
      </c>
      <c r="B220" s="5" t="s">
        <v>52</v>
      </c>
      <c r="C220" s="5" t="s">
        <v>53</v>
      </c>
      <c r="D220" s="5" t="s">
        <v>38</v>
      </c>
      <c r="E220" s="5" t="s">
        <v>39</v>
      </c>
      <c r="F220" s="6" t="s">
        <v>279</v>
      </c>
      <c r="G220" s="6">
        <v>1</v>
      </c>
      <c r="H220" s="6">
        <v>0.5</v>
      </c>
      <c r="I220" s="6">
        <v>0.5</v>
      </c>
      <c r="J220" s="5">
        <f t="shared" si="24"/>
        <v>3</v>
      </c>
      <c r="K220" s="5">
        <f t="shared" si="25"/>
        <v>3</v>
      </c>
      <c r="L220" s="7">
        <f t="shared" si="26"/>
        <v>0.66666666666666663</v>
      </c>
      <c r="M220" s="7">
        <f t="shared" si="27"/>
        <v>0</v>
      </c>
      <c r="N220" s="7">
        <f t="shared" si="28"/>
        <v>0.5</v>
      </c>
      <c r="O220" s="7">
        <f t="shared" si="29"/>
        <v>0</v>
      </c>
      <c r="P220" s="7">
        <f t="shared" si="30"/>
        <v>0.25</v>
      </c>
      <c r="Q220" s="5">
        <f t="shared" si="31"/>
        <v>0</v>
      </c>
      <c r="R220" s="7">
        <f>IF(OR(L220="",Baseline!$C$15=""),"",ABS(L220-Baseline!$C$15))</f>
        <v>0.16666666666666663</v>
      </c>
    </row>
    <row r="221" spans="1:18" x14ac:dyDescent="0.3">
      <c r="A221" s="5">
        <v>20</v>
      </c>
      <c r="B221" s="5" t="s">
        <v>52</v>
      </c>
      <c r="C221" s="5" t="s">
        <v>53</v>
      </c>
      <c r="D221" s="5" t="s">
        <v>38</v>
      </c>
      <c r="E221" s="5" t="s">
        <v>39</v>
      </c>
      <c r="F221" s="6" t="s">
        <v>280</v>
      </c>
      <c r="G221" s="6">
        <v>0.5</v>
      </c>
      <c r="H221" s="6">
        <v>0.5</v>
      </c>
      <c r="I221" s="6">
        <v>0.5</v>
      </c>
      <c r="J221" s="5">
        <f t="shared" si="24"/>
        <v>3</v>
      </c>
      <c r="K221" s="5">
        <f t="shared" si="25"/>
        <v>3</v>
      </c>
      <c r="L221" s="7">
        <f t="shared" si="26"/>
        <v>0.5</v>
      </c>
      <c r="M221" s="7">
        <f t="shared" si="27"/>
        <v>0</v>
      </c>
      <c r="N221" s="7">
        <f t="shared" si="28"/>
        <v>0</v>
      </c>
      <c r="O221" s="7">
        <f t="shared" si="29"/>
        <v>0</v>
      </c>
      <c r="P221" s="7">
        <f t="shared" si="30"/>
        <v>0</v>
      </c>
      <c r="Q221" s="5">
        <f t="shared" si="31"/>
        <v>0</v>
      </c>
      <c r="R221" s="7">
        <f>IF(OR(L221="",Baseline!$C$15=""),"",ABS(L221-Baseline!$C$15))</f>
        <v>0</v>
      </c>
    </row>
    <row r="222" spans="1:18" x14ac:dyDescent="0.3">
      <c r="A222" s="5">
        <v>1</v>
      </c>
      <c r="B222" s="5" t="s">
        <v>54</v>
      </c>
      <c r="C222" s="5" t="s">
        <v>55</v>
      </c>
      <c r="D222" s="5" t="s">
        <v>38</v>
      </c>
      <c r="E222" s="5" t="s">
        <v>39</v>
      </c>
      <c r="F222" s="6" t="s">
        <v>281</v>
      </c>
      <c r="G222" s="6" t="s">
        <v>102</v>
      </c>
      <c r="H222" s="6">
        <v>0.5</v>
      </c>
      <c r="I222" s="6">
        <v>0.5</v>
      </c>
      <c r="J222" s="5">
        <f t="shared" si="24"/>
        <v>3</v>
      </c>
      <c r="K222" s="5">
        <f t="shared" si="25"/>
        <v>2</v>
      </c>
      <c r="L222" s="7">
        <f t="shared" si="26"/>
        <v>0.5</v>
      </c>
      <c r="M222" s="7">
        <f t="shared" si="27"/>
        <v>33.333333333333329</v>
      </c>
      <c r="N222" s="7" t="str">
        <f t="shared" si="28"/>
        <v/>
      </c>
      <c r="O222" s="7">
        <f t="shared" si="29"/>
        <v>0</v>
      </c>
      <c r="P222" s="7">
        <f t="shared" si="30"/>
        <v>0</v>
      </c>
      <c r="Q222" s="5">
        <f t="shared" si="31"/>
        <v>0</v>
      </c>
      <c r="R222" s="7">
        <f>IF(OR(L222="",Baseline!$C$16=""),"",ABS(L222-Baseline!$C$16))</f>
        <v>0</v>
      </c>
    </row>
    <row r="223" spans="1:18" x14ac:dyDescent="0.3">
      <c r="A223" s="5">
        <v>2</v>
      </c>
      <c r="B223" s="5" t="s">
        <v>54</v>
      </c>
      <c r="C223" s="5" t="s">
        <v>55</v>
      </c>
      <c r="D223" s="5" t="s">
        <v>38</v>
      </c>
      <c r="E223" s="5" t="s">
        <v>39</v>
      </c>
      <c r="F223" s="6" t="s">
        <v>282</v>
      </c>
      <c r="G223" s="6">
        <v>0.5</v>
      </c>
      <c r="H223" s="6">
        <v>0.5</v>
      </c>
      <c r="I223" s="6">
        <v>0.5</v>
      </c>
      <c r="J223" s="5">
        <f t="shared" si="24"/>
        <v>3</v>
      </c>
      <c r="K223" s="5">
        <f t="shared" si="25"/>
        <v>3</v>
      </c>
      <c r="L223" s="7">
        <f t="shared" si="26"/>
        <v>0.5</v>
      </c>
      <c r="M223" s="7">
        <f t="shared" si="27"/>
        <v>0</v>
      </c>
      <c r="N223" s="7">
        <f t="shared" si="28"/>
        <v>0</v>
      </c>
      <c r="O223" s="7">
        <f t="shared" si="29"/>
        <v>0</v>
      </c>
      <c r="P223" s="7">
        <f t="shared" si="30"/>
        <v>0</v>
      </c>
      <c r="Q223" s="5">
        <f t="shared" si="31"/>
        <v>0</v>
      </c>
      <c r="R223" s="7">
        <f>IF(OR(L223="",Baseline!$C$16=""),"",ABS(L223-Baseline!$C$16))</f>
        <v>0</v>
      </c>
    </row>
    <row r="224" spans="1:18" x14ac:dyDescent="0.3">
      <c r="A224" s="5">
        <v>3</v>
      </c>
      <c r="B224" s="5" t="s">
        <v>54</v>
      </c>
      <c r="C224" s="5" t="s">
        <v>55</v>
      </c>
      <c r="D224" s="5" t="s">
        <v>38</v>
      </c>
      <c r="E224" s="5" t="s">
        <v>39</v>
      </c>
      <c r="F224" s="6" t="s">
        <v>283</v>
      </c>
      <c r="G224" s="6">
        <v>0.5</v>
      </c>
      <c r="H224" s="6">
        <v>11</v>
      </c>
      <c r="I224" s="6">
        <v>1</v>
      </c>
      <c r="J224" s="5">
        <f t="shared" si="24"/>
        <v>3</v>
      </c>
      <c r="K224" s="5">
        <f t="shared" si="25"/>
        <v>3</v>
      </c>
      <c r="L224" s="7">
        <f t="shared" si="26"/>
        <v>4.166666666666667</v>
      </c>
      <c r="M224" s="7">
        <f t="shared" si="27"/>
        <v>0</v>
      </c>
      <c r="N224" s="7">
        <f t="shared" si="28"/>
        <v>10.5</v>
      </c>
      <c r="O224" s="7">
        <f t="shared" si="29"/>
        <v>10</v>
      </c>
      <c r="P224" s="7">
        <f t="shared" si="30"/>
        <v>10.25</v>
      </c>
      <c r="Q224" s="5">
        <f t="shared" si="31"/>
        <v>0</v>
      </c>
      <c r="R224" s="7">
        <f>IF(OR(L224="",Baseline!$C$16=""),"",ABS(L224-Baseline!$C$16))</f>
        <v>3.666666666666667</v>
      </c>
    </row>
    <row r="225" spans="1:18" x14ac:dyDescent="0.3">
      <c r="A225" s="5">
        <v>4</v>
      </c>
      <c r="B225" s="5" t="s">
        <v>54</v>
      </c>
      <c r="C225" s="5" t="s">
        <v>55</v>
      </c>
      <c r="D225" s="5" t="s">
        <v>38</v>
      </c>
      <c r="E225" s="5" t="s">
        <v>39</v>
      </c>
      <c r="F225" s="6" t="s">
        <v>284</v>
      </c>
      <c r="G225" s="6">
        <v>0.5</v>
      </c>
      <c r="H225" s="6">
        <v>0.5</v>
      </c>
      <c r="I225" s="6">
        <v>0.5</v>
      </c>
      <c r="J225" s="5">
        <f t="shared" si="24"/>
        <v>3</v>
      </c>
      <c r="K225" s="5">
        <f t="shared" si="25"/>
        <v>3</v>
      </c>
      <c r="L225" s="7">
        <f t="shared" si="26"/>
        <v>0.5</v>
      </c>
      <c r="M225" s="7">
        <f t="shared" si="27"/>
        <v>0</v>
      </c>
      <c r="N225" s="7">
        <f t="shared" si="28"/>
        <v>0</v>
      </c>
      <c r="O225" s="7">
        <f t="shared" si="29"/>
        <v>0</v>
      </c>
      <c r="P225" s="7">
        <f t="shared" si="30"/>
        <v>0</v>
      </c>
      <c r="Q225" s="5">
        <f t="shared" si="31"/>
        <v>0</v>
      </c>
      <c r="R225" s="7">
        <f>IF(OR(L225="",Baseline!$C$16=""),"",ABS(L225-Baseline!$C$16))</f>
        <v>0</v>
      </c>
    </row>
    <row r="226" spans="1:18" x14ac:dyDescent="0.3">
      <c r="A226" s="5">
        <v>5</v>
      </c>
      <c r="B226" s="5" t="s">
        <v>54</v>
      </c>
      <c r="C226" s="5" t="s">
        <v>55</v>
      </c>
      <c r="D226" s="5" t="s">
        <v>38</v>
      </c>
      <c r="E226" s="5" t="s">
        <v>39</v>
      </c>
      <c r="F226" s="6" t="s">
        <v>285</v>
      </c>
      <c r="G226" s="6">
        <v>0.5</v>
      </c>
      <c r="H226" s="6">
        <v>0.5</v>
      </c>
      <c r="I226" s="6">
        <v>0.5</v>
      </c>
      <c r="J226" s="5">
        <f t="shared" si="24"/>
        <v>3</v>
      </c>
      <c r="K226" s="5">
        <f t="shared" si="25"/>
        <v>3</v>
      </c>
      <c r="L226" s="7">
        <f t="shared" si="26"/>
        <v>0.5</v>
      </c>
      <c r="M226" s="7">
        <f t="shared" si="27"/>
        <v>0</v>
      </c>
      <c r="N226" s="7">
        <f t="shared" si="28"/>
        <v>0</v>
      </c>
      <c r="O226" s="7">
        <f t="shared" si="29"/>
        <v>0</v>
      </c>
      <c r="P226" s="7">
        <f t="shared" si="30"/>
        <v>0</v>
      </c>
      <c r="Q226" s="5">
        <f t="shared" si="31"/>
        <v>0</v>
      </c>
      <c r="R226" s="7">
        <f>IF(OR(L226="",Baseline!$C$16=""),"",ABS(L226-Baseline!$C$16))</f>
        <v>0</v>
      </c>
    </row>
    <row r="227" spans="1:18" x14ac:dyDescent="0.3">
      <c r="A227" s="5">
        <v>6</v>
      </c>
      <c r="B227" s="5" t="s">
        <v>54</v>
      </c>
      <c r="C227" s="5" t="s">
        <v>55</v>
      </c>
      <c r="D227" s="5" t="s">
        <v>38</v>
      </c>
      <c r="E227" s="5" t="s">
        <v>39</v>
      </c>
      <c r="F227" s="6" t="s">
        <v>286</v>
      </c>
      <c r="G227" s="6">
        <v>21</v>
      </c>
      <c r="H227" s="6">
        <v>0.5</v>
      </c>
      <c r="I227" s="6">
        <v>0.5</v>
      </c>
      <c r="J227" s="5">
        <f t="shared" si="24"/>
        <v>3</v>
      </c>
      <c r="K227" s="5">
        <f t="shared" si="25"/>
        <v>3</v>
      </c>
      <c r="L227" s="7">
        <f t="shared" si="26"/>
        <v>7.333333333333333</v>
      </c>
      <c r="M227" s="7">
        <f t="shared" si="27"/>
        <v>0</v>
      </c>
      <c r="N227" s="7">
        <f t="shared" si="28"/>
        <v>20.5</v>
      </c>
      <c r="O227" s="7">
        <f t="shared" si="29"/>
        <v>0</v>
      </c>
      <c r="P227" s="7">
        <f t="shared" si="30"/>
        <v>10.25</v>
      </c>
      <c r="Q227" s="5">
        <f t="shared" si="31"/>
        <v>0</v>
      </c>
      <c r="R227" s="7">
        <f>IF(OR(L227="",Baseline!$C$16=""),"",ABS(L227-Baseline!$C$16))</f>
        <v>6.833333333333333</v>
      </c>
    </row>
    <row r="228" spans="1:18" x14ac:dyDescent="0.3">
      <c r="A228" s="5">
        <v>7</v>
      </c>
      <c r="B228" s="5" t="s">
        <v>54</v>
      </c>
      <c r="C228" s="5" t="s">
        <v>55</v>
      </c>
      <c r="D228" s="5" t="s">
        <v>38</v>
      </c>
      <c r="E228" s="5" t="s">
        <v>39</v>
      </c>
      <c r="F228" s="6" t="s">
        <v>287</v>
      </c>
      <c r="G228" s="6">
        <v>0.5</v>
      </c>
      <c r="H228" s="6">
        <v>0.5</v>
      </c>
      <c r="I228" s="6">
        <v>0.5</v>
      </c>
      <c r="J228" s="5">
        <f t="shared" si="24"/>
        <v>3</v>
      </c>
      <c r="K228" s="5">
        <f t="shared" si="25"/>
        <v>3</v>
      </c>
      <c r="L228" s="7">
        <f t="shared" si="26"/>
        <v>0.5</v>
      </c>
      <c r="M228" s="7">
        <f t="shared" si="27"/>
        <v>0</v>
      </c>
      <c r="N228" s="7">
        <f t="shared" si="28"/>
        <v>0</v>
      </c>
      <c r="O228" s="7">
        <f t="shared" si="29"/>
        <v>0</v>
      </c>
      <c r="P228" s="7">
        <f t="shared" si="30"/>
        <v>0</v>
      </c>
      <c r="Q228" s="5">
        <f t="shared" si="31"/>
        <v>0</v>
      </c>
      <c r="R228" s="7">
        <f>IF(OR(L228="",Baseline!$C$16=""),"",ABS(L228-Baseline!$C$16))</f>
        <v>0</v>
      </c>
    </row>
    <row r="229" spans="1:18" x14ac:dyDescent="0.3">
      <c r="A229" s="5">
        <v>8</v>
      </c>
      <c r="B229" s="5" t="s">
        <v>54</v>
      </c>
      <c r="C229" s="5" t="s">
        <v>55</v>
      </c>
      <c r="D229" s="5" t="s">
        <v>38</v>
      </c>
      <c r="E229" s="5" t="s">
        <v>39</v>
      </c>
      <c r="F229" s="6" t="s">
        <v>288</v>
      </c>
      <c r="G229" s="6">
        <v>1</v>
      </c>
      <c r="H229" s="6">
        <v>0.5</v>
      </c>
      <c r="I229" s="6">
        <v>0.5</v>
      </c>
      <c r="J229" s="5">
        <f t="shared" si="24"/>
        <v>3</v>
      </c>
      <c r="K229" s="5">
        <f t="shared" si="25"/>
        <v>3</v>
      </c>
      <c r="L229" s="7">
        <f t="shared" si="26"/>
        <v>0.66666666666666663</v>
      </c>
      <c r="M229" s="7">
        <f t="shared" si="27"/>
        <v>0</v>
      </c>
      <c r="N229" s="7">
        <f t="shared" si="28"/>
        <v>0.5</v>
      </c>
      <c r="O229" s="7">
        <f t="shared" si="29"/>
        <v>0</v>
      </c>
      <c r="P229" s="7">
        <f t="shared" si="30"/>
        <v>0.25</v>
      </c>
      <c r="Q229" s="5">
        <f t="shared" si="31"/>
        <v>0</v>
      </c>
      <c r="R229" s="7">
        <f>IF(OR(L229="",Baseline!$C$16=""),"",ABS(L229-Baseline!$C$16))</f>
        <v>0.16666666666666663</v>
      </c>
    </row>
    <row r="230" spans="1:18" x14ac:dyDescent="0.3">
      <c r="A230" s="5">
        <v>9</v>
      </c>
      <c r="B230" s="5" t="s">
        <v>54</v>
      </c>
      <c r="C230" s="5" t="s">
        <v>55</v>
      </c>
      <c r="D230" s="5" t="s">
        <v>38</v>
      </c>
      <c r="E230" s="5" t="s">
        <v>39</v>
      </c>
      <c r="F230" s="6" t="s">
        <v>289</v>
      </c>
      <c r="G230" s="6">
        <v>0.5</v>
      </c>
      <c r="H230" s="6">
        <v>0.5</v>
      </c>
      <c r="I230" s="6">
        <v>0.5</v>
      </c>
      <c r="J230" s="5">
        <f t="shared" si="24"/>
        <v>3</v>
      </c>
      <c r="K230" s="5">
        <f t="shared" si="25"/>
        <v>3</v>
      </c>
      <c r="L230" s="7">
        <f t="shared" si="26"/>
        <v>0.5</v>
      </c>
      <c r="M230" s="7">
        <f t="shared" si="27"/>
        <v>0</v>
      </c>
      <c r="N230" s="7">
        <f t="shared" si="28"/>
        <v>0</v>
      </c>
      <c r="O230" s="7">
        <f t="shared" si="29"/>
        <v>0</v>
      </c>
      <c r="P230" s="7">
        <f t="shared" si="30"/>
        <v>0</v>
      </c>
      <c r="Q230" s="5">
        <f t="shared" si="31"/>
        <v>0</v>
      </c>
      <c r="R230" s="7">
        <f>IF(OR(L230="",Baseline!$C$16=""),"",ABS(L230-Baseline!$C$16))</f>
        <v>0</v>
      </c>
    </row>
    <row r="231" spans="1:18" x14ac:dyDescent="0.3">
      <c r="A231" s="5">
        <v>10</v>
      </c>
      <c r="B231" s="5" t="s">
        <v>54</v>
      </c>
      <c r="C231" s="5" t="s">
        <v>55</v>
      </c>
      <c r="D231" s="5" t="s">
        <v>38</v>
      </c>
      <c r="E231" s="5" t="s">
        <v>39</v>
      </c>
      <c r="F231" s="6" t="s">
        <v>290</v>
      </c>
      <c r="G231" s="6">
        <v>0.5</v>
      </c>
      <c r="H231" s="6">
        <v>1</v>
      </c>
      <c r="I231" s="6">
        <v>0.5</v>
      </c>
      <c r="J231" s="5">
        <f t="shared" si="24"/>
        <v>3</v>
      </c>
      <c r="K231" s="5">
        <f t="shared" si="25"/>
        <v>3</v>
      </c>
      <c r="L231" s="7">
        <f t="shared" si="26"/>
        <v>0.66666666666666663</v>
      </c>
      <c r="M231" s="7">
        <f t="shared" si="27"/>
        <v>0</v>
      </c>
      <c r="N231" s="7">
        <f t="shared" si="28"/>
        <v>0.5</v>
      </c>
      <c r="O231" s="7">
        <f t="shared" si="29"/>
        <v>0.5</v>
      </c>
      <c r="P231" s="7">
        <f t="shared" si="30"/>
        <v>0.5</v>
      </c>
      <c r="Q231" s="5">
        <f t="shared" si="31"/>
        <v>0</v>
      </c>
      <c r="R231" s="7">
        <f>IF(OR(L231="",Baseline!$C$16=""),"",ABS(L231-Baseline!$C$16))</f>
        <v>0.16666666666666663</v>
      </c>
    </row>
    <row r="232" spans="1:18" x14ac:dyDescent="0.3">
      <c r="A232" s="5">
        <v>11</v>
      </c>
      <c r="B232" s="5" t="s">
        <v>54</v>
      </c>
      <c r="C232" s="5" t="s">
        <v>55</v>
      </c>
      <c r="D232" s="5" t="s">
        <v>38</v>
      </c>
      <c r="E232" s="5" t="s">
        <v>39</v>
      </c>
      <c r="F232" s="6" t="s">
        <v>291</v>
      </c>
      <c r="G232" s="6">
        <v>0.5</v>
      </c>
      <c r="H232" s="6">
        <v>0.5</v>
      </c>
      <c r="I232" s="6">
        <v>0.5</v>
      </c>
      <c r="J232" s="5">
        <f t="shared" si="24"/>
        <v>3</v>
      </c>
      <c r="K232" s="5">
        <f t="shared" si="25"/>
        <v>3</v>
      </c>
      <c r="L232" s="7">
        <f t="shared" si="26"/>
        <v>0.5</v>
      </c>
      <c r="M232" s="7">
        <f t="shared" si="27"/>
        <v>0</v>
      </c>
      <c r="N232" s="7">
        <f t="shared" si="28"/>
        <v>0</v>
      </c>
      <c r="O232" s="7">
        <f t="shared" si="29"/>
        <v>0</v>
      </c>
      <c r="P232" s="7">
        <f t="shared" si="30"/>
        <v>0</v>
      </c>
      <c r="Q232" s="5">
        <f t="shared" si="31"/>
        <v>0</v>
      </c>
      <c r="R232" s="7">
        <f>IF(OR(L232="",Baseline!$C$16=""),"",ABS(L232-Baseline!$C$16))</f>
        <v>0</v>
      </c>
    </row>
    <row r="233" spans="1:18" x14ac:dyDescent="0.3">
      <c r="A233" s="5">
        <v>12</v>
      </c>
      <c r="B233" s="5" t="s">
        <v>54</v>
      </c>
      <c r="C233" s="5" t="s">
        <v>55</v>
      </c>
      <c r="D233" s="5" t="s">
        <v>38</v>
      </c>
      <c r="E233" s="5" t="s">
        <v>39</v>
      </c>
      <c r="F233" s="6" t="s">
        <v>292</v>
      </c>
      <c r="G233" s="6">
        <v>0.5</v>
      </c>
      <c r="H233" s="6">
        <v>0.5</v>
      </c>
      <c r="I233" s="6">
        <v>14</v>
      </c>
      <c r="J233" s="5">
        <f t="shared" si="24"/>
        <v>3</v>
      </c>
      <c r="K233" s="5">
        <f t="shared" si="25"/>
        <v>3</v>
      </c>
      <c r="L233" s="7">
        <f t="shared" si="26"/>
        <v>5</v>
      </c>
      <c r="M233" s="7">
        <f t="shared" si="27"/>
        <v>0</v>
      </c>
      <c r="N233" s="7">
        <f t="shared" si="28"/>
        <v>0</v>
      </c>
      <c r="O233" s="7">
        <f t="shared" si="29"/>
        <v>13.5</v>
      </c>
      <c r="P233" s="7">
        <f t="shared" si="30"/>
        <v>6.75</v>
      </c>
      <c r="Q233" s="5">
        <f t="shared" si="31"/>
        <v>0</v>
      </c>
      <c r="R233" s="7">
        <f>IF(OR(L233="",Baseline!$C$16=""),"",ABS(L233-Baseline!$C$16))</f>
        <v>4.5</v>
      </c>
    </row>
    <row r="234" spans="1:18" x14ac:dyDescent="0.3">
      <c r="A234" s="5">
        <v>13</v>
      </c>
      <c r="B234" s="5" t="s">
        <v>54</v>
      </c>
      <c r="C234" s="5" t="s">
        <v>55</v>
      </c>
      <c r="D234" s="5" t="s">
        <v>38</v>
      </c>
      <c r="E234" s="5" t="s">
        <v>39</v>
      </c>
      <c r="F234" s="6" t="s">
        <v>293</v>
      </c>
      <c r="G234" s="6">
        <v>0.5</v>
      </c>
      <c r="H234" s="6">
        <v>0.5</v>
      </c>
      <c r="I234" s="6">
        <v>0.5</v>
      </c>
      <c r="J234" s="5">
        <f t="shared" si="24"/>
        <v>3</v>
      </c>
      <c r="K234" s="5">
        <f t="shared" si="25"/>
        <v>3</v>
      </c>
      <c r="L234" s="7">
        <f t="shared" si="26"/>
        <v>0.5</v>
      </c>
      <c r="M234" s="7">
        <f t="shared" si="27"/>
        <v>0</v>
      </c>
      <c r="N234" s="7">
        <f t="shared" si="28"/>
        <v>0</v>
      </c>
      <c r="O234" s="7">
        <f t="shared" si="29"/>
        <v>0</v>
      </c>
      <c r="P234" s="7">
        <f t="shared" si="30"/>
        <v>0</v>
      </c>
      <c r="Q234" s="5">
        <f t="shared" si="31"/>
        <v>0</v>
      </c>
      <c r="R234" s="7">
        <f>IF(OR(L234="",Baseline!$C$16=""),"",ABS(L234-Baseline!$C$16))</f>
        <v>0</v>
      </c>
    </row>
    <row r="235" spans="1:18" x14ac:dyDescent="0.3">
      <c r="A235" s="5">
        <v>14</v>
      </c>
      <c r="B235" s="5" t="s">
        <v>54</v>
      </c>
      <c r="C235" s="5" t="s">
        <v>55</v>
      </c>
      <c r="D235" s="5" t="s">
        <v>38</v>
      </c>
      <c r="E235" s="5" t="s">
        <v>39</v>
      </c>
      <c r="F235" s="6" t="s">
        <v>294</v>
      </c>
      <c r="G235" s="6">
        <v>0.5</v>
      </c>
      <c r="H235" s="6">
        <v>0.5</v>
      </c>
      <c r="I235" s="6">
        <v>0.5</v>
      </c>
      <c r="J235" s="5">
        <f t="shared" si="24"/>
        <v>3</v>
      </c>
      <c r="K235" s="5">
        <f t="shared" si="25"/>
        <v>3</v>
      </c>
      <c r="L235" s="7">
        <f t="shared" si="26"/>
        <v>0.5</v>
      </c>
      <c r="M235" s="7">
        <f t="shared" si="27"/>
        <v>0</v>
      </c>
      <c r="N235" s="7">
        <f t="shared" si="28"/>
        <v>0</v>
      </c>
      <c r="O235" s="7">
        <f t="shared" si="29"/>
        <v>0</v>
      </c>
      <c r="P235" s="7">
        <f t="shared" si="30"/>
        <v>0</v>
      </c>
      <c r="Q235" s="5">
        <f t="shared" si="31"/>
        <v>0</v>
      </c>
      <c r="R235" s="7">
        <f>IF(OR(L235="",Baseline!$C$16=""),"",ABS(L235-Baseline!$C$16))</f>
        <v>0</v>
      </c>
    </row>
    <row r="236" spans="1:18" x14ac:dyDescent="0.3">
      <c r="A236" s="5">
        <v>15</v>
      </c>
      <c r="B236" s="5" t="s">
        <v>54</v>
      </c>
      <c r="C236" s="5" t="s">
        <v>55</v>
      </c>
      <c r="D236" s="5" t="s">
        <v>38</v>
      </c>
      <c r="E236" s="5" t="s">
        <v>39</v>
      </c>
      <c r="F236" s="6" t="s">
        <v>295</v>
      </c>
      <c r="G236" s="6">
        <v>0.5</v>
      </c>
      <c r="H236" s="6">
        <v>0.5</v>
      </c>
      <c r="I236" s="6">
        <v>0.5</v>
      </c>
      <c r="J236" s="5">
        <f t="shared" si="24"/>
        <v>3</v>
      </c>
      <c r="K236" s="5">
        <f t="shared" si="25"/>
        <v>3</v>
      </c>
      <c r="L236" s="7">
        <f t="shared" si="26"/>
        <v>0.5</v>
      </c>
      <c r="M236" s="7">
        <f t="shared" si="27"/>
        <v>0</v>
      </c>
      <c r="N236" s="7">
        <f t="shared" si="28"/>
        <v>0</v>
      </c>
      <c r="O236" s="7">
        <f t="shared" si="29"/>
        <v>0</v>
      </c>
      <c r="P236" s="7">
        <f t="shared" si="30"/>
        <v>0</v>
      </c>
      <c r="Q236" s="5">
        <f t="shared" si="31"/>
        <v>0</v>
      </c>
      <c r="R236" s="7">
        <f>IF(OR(L236="",Baseline!$C$16=""),"",ABS(L236-Baseline!$C$16))</f>
        <v>0</v>
      </c>
    </row>
    <row r="237" spans="1:18" x14ac:dyDescent="0.3">
      <c r="A237" s="5">
        <v>16</v>
      </c>
      <c r="B237" s="5" t="s">
        <v>54</v>
      </c>
      <c r="C237" s="5" t="s">
        <v>55</v>
      </c>
      <c r="D237" s="5" t="s">
        <v>38</v>
      </c>
      <c r="E237" s="5" t="s">
        <v>39</v>
      </c>
      <c r="F237" s="6" t="s">
        <v>296</v>
      </c>
      <c r="G237" s="6">
        <v>0.5</v>
      </c>
      <c r="H237" s="6">
        <v>0.5</v>
      </c>
      <c r="I237" s="6">
        <v>0.5</v>
      </c>
      <c r="J237" s="5">
        <f t="shared" si="24"/>
        <v>3</v>
      </c>
      <c r="K237" s="5">
        <f t="shared" si="25"/>
        <v>3</v>
      </c>
      <c r="L237" s="7">
        <f t="shared" si="26"/>
        <v>0.5</v>
      </c>
      <c r="M237" s="7">
        <f t="shared" si="27"/>
        <v>0</v>
      </c>
      <c r="N237" s="7">
        <f t="shared" si="28"/>
        <v>0</v>
      </c>
      <c r="O237" s="7">
        <f t="shared" si="29"/>
        <v>0</v>
      </c>
      <c r="P237" s="7">
        <f t="shared" si="30"/>
        <v>0</v>
      </c>
      <c r="Q237" s="5">
        <f t="shared" si="31"/>
        <v>0</v>
      </c>
      <c r="R237" s="7">
        <f>IF(OR(L237="",Baseline!$C$16=""),"",ABS(L237-Baseline!$C$16))</f>
        <v>0</v>
      </c>
    </row>
    <row r="238" spans="1:18" x14ac:dyDescent="0.3">
      <c r="A238" s="5">
        <v>17</v>
      </c>
      <c r="B238" s="5" t="s">
        <v>54</v>
      </c>
      <c r="C238" s="5" t="s">
        <v>55</v>
      </c>
      <c r="D238" s="5" t="s">
        <v>38</v>
      </c>
      <c r="E238" s="5" t="s">
        <v>39</v>
      </c>
      <c r="F238" s="6" t="s">
        <v>297</v>
      </c>
      <c r="G238" s="6">
        <v>0.5</v>
      </c>
      <c r="H238" s="6">
        <v>0.5</v>
      </c>
      <c r="I238" s="6">
        <v>0.5</v>
      </c>
      <c r="J238" s="5">
        <f t="shared" si="24"/>
        <v>3</v>
      </c>
      <c r="K238" s="5">
        <f t="shared" si="25"/>
        <v>3</v>
      </c>
      <c r="L238" s="7">
        <f t="shared" si="26"/>
        <v>0.5</v>
      </c>
      <c r="M238" s="7">
        <f t="shared" si="27"/>
        <v>0</v>
      </c>
      <c r="N238" s="7">
        <f t="shared" si="28"/>
        <v>0</v>
      </c>
      <c r="O238" s="7">
        <f t="shared" si="29"/>
        <v>0</v>
      </c>
      <c r="P238" s="7">
        <f t="shared" si="30"/>
        <v>0</v>
      </c>
      <c r="Q238" s="5">
        <f t="shared" si="31"/>
        <v>0</v>
      </c>
      <c r="R238" s="7">
        <f>IF(OR(L238="",Baseline!$C$16=""),"",ABS(L238-Baseline!$C$16))</f>
        <v>0</v>
      </c>
    </row>
    <row r="239" spans="1:18" x14ac:dyDescent="0.3">
      <c r="A239" s="5">
        <v>18</v>
      </c>
      <c r="B239" s="5" t="s">
        <v>54</v>
      </c>
      <c r="C239" s="5" t="s">
        <v>55</v>
      </c>
      <c r="D239" s="5" t="s">
        <v>38</v>
      </c>
      <c r="E239" s="5" t="s">
        <v>39</v>
      </c>
      <c r="F239" s="6" t="s">
        <v>298</v>
      </c>
      <c r="G239" s="6">
        <v>0.5</v>
      </c>
      <c r="H239" s="6">
        <v>0.5</v>
      </c>
      <c r="I239" s="6">
        <v>0.5</v>
      </c>
      <c r="J239" s="5">
        <f t="shared" si="24"/>
        <v>3</v>
      </c>
      <c r="K239" s="5">
        <f t="shared" si="25"/>
        <v>3</v>
      </c>
      <c r="L239" s="7">
        <f t="shared" si="26"/>
        <v>0.5</v>
      </c>
      <c r="M239" s="7">
        <f t="shared" si="27"/>
        <v>0</v>
      </c>
      <c r="N239" s="7">
        <f t="shared" si="28"/>
        <v>0</v>
      </c>
      <c r="O239" s="7">
        <f t="shared" si="29"/>
        <v>0</v>
      </c>
      <c r="P239" s="7">
        <f t="shared" si="30"/>
        <v>0</v>
      </c>
      <c r="Q239" s="5">
        <f t="shared" si="31"/>
        <v>0</v>
      </c>
      <c r="R239" s="7">
        <f>IF(OR(L239="",Baseline!$C$16=""),"",ABS(L239-Baseline!$C$16))</f>
        <v>0</v>
      </c>
    </row>
    <row r="240" spans="1:18" x14ac:dyDescent="0.3">
      <c r="A240" s="5">
        <v>19</v>
      </c>
      <c r="B240" s="5" t="s">
        <v>54</v>
      </c>
      <c r="C240" s="5" t="s">
        <v>55</v>
      </c>
      <c r="D240" s="5" t="s">
        <v>38</v>
      </c>
      <c r="E240" s="5" t="s">
        <v>39</v>
      </c>
      <c r="F240" s="6" t="s">
        <v>299</v>
      </c>
      <c r="G240" s="6">
        <v>0.5</v>
      </c>
      <c r="H240" s="6">
        <v>0.5</v>
      </c>
      <c r="I240" s="6">
        <v>0.5</v>
      </c>
      <c r="J240" s="5">
        <f t="shared" si="24"/>
        <v>3</v>
      </c>
      <c r="K240" s="5">
        <f t="shared" si="25"/>
        <v>3</v>
      </c>
      <c r="L240" s="7">
        <f t="shared" si="26"/>
        <v>0.5</v>
      </c>
      <c r="M240" s="7">
        <f t="shared" si="27"/>
        <v>0</v>
      </c>
      <c r="N240" s="7">
        <f t="shared" si="28"/>
        <v>0</v>
      </c>
      <c r="O240" s="7">
        <f t="shared" si="29"/>
        <v>0</v>
      </c>
      <c r="P240" s="7">
        <f t="shared" si="30"/>
        <v>0</v>
      </c>
      <c r="Q240" s="5">
        <f t="shared" si="31"/>
        <v>0</v>
      </c>
      <c r="R240" s="7">
        <f>IF(OR(L240="",Baseline!$C$16=""),"",ABS(L240-Baseline!$C$16))</f>
        <v>0</v>
      </c>
    </row>
    <row r="241" spans="1:18" x14ac:dyDescent="0.3">
      <c r="A241" s="5">
        <v>20</v>
      </c>
      <c r="B241" s="5" t="s">
        <v>54</v>
      </c>
      <c r="C241" s="5" t="s">
        <v>55</v>
      </c>
      <c r="D241" s="5" t="s">
        <v>38</v>
      </c>
      <c r="E241" s="5" t="s">
        <v>39</v>
      </c>
      <c r="F241" s="6" t="s">
        <v>300</v>
      </c>
      <c r="G241" s="6">
        <v>0.5</v>
      </c>
      <c r="H241" s="6">
        <v>0.5</v>
      </c>
      <c r="I241" s="6">
        <v>0.5</v>
      </c>
      <c r="J241" s="5">
        <f t="shared" si="24"/>
        <v>3</v>
      </c>
      <c r="K241" s="5">
        <f t="shared" si="25"/>
        <v>3</v>
      </c>
      <c r="L241" s="7">
        <f t="shared" si="26"/>
        <v>0.5</v>
      </c>
      <c r="M241" s="7">
        <f t="shared" si="27"/>
        <v>0</v>
      </c>
      <c r="N241" s="7">
        <f t="shared" si="28"/>
        <v>0</v>
      </c>
      <c r="O241" s="7">
        <f t="shared" si="29"/>
        <v>0</v>
      </c>
      <c r="P241" s="7">
        <f t="shared" si="30"/>
        <v>0</v>
      </c>
      <c r="Q241" s="5">
        <f t="shared" si="31"/>
        <v>0</v>
      </c>
      <c r="R241" s="7">
        <f>IF(OR(L241="",Baseline!$C$16=""),"",ABS(L241-Baseline!$C$16))</f>
        <v>0</v>
      </c>
    </row>
  </sheetData>
  <dataValidations count="1">
    <dataValidation type="custom" allowBlank="1" showErrorMessage="1" errorTitle="Valor inválido" error="Digite o tempo em ms (use 0.5 para &lt;1ms) ou T para pacote sem resposta." sqref="G2:I241" xr:uid="{00000000-0002-0000-0100-000000000000}">
      <formula1>OR(ISNUMBER(G2),UPPER(G2)="T")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26" customWidth="1"/>
    <col min="2" max="2" width="10" customWidth="1"/>
    <col min="3" max="3" width="12" customWidth="1"/>
    <col min="4" max="5" width="10" customWidth="1"/>
    <col min="6" max="6" width="16" customWidth="1"/>
    <col min="7" max="9" width="15" customWidth="1"/>
    <col min="10" max="10" width="11" customWidth="1"/>
  </cols>
  <sheetData>
    <row r="1" spans="1:10" ht="17.399999999999999" x14ac:dyDescent="0.3">
      <c r="A1" s="8" t="s">
        <v>56</v>
      </c>
    </row>
    <row r="2" spans="1:10" x14ac:dyDescent="0.3">
      <c r="A2" s="9" t="s">
        <v>57</v>
      </c>
    </row>
    <row r="4" spans="1:10" ht="30" customHeight="1" x14ac:dyDescent="0.3">
      <c r="A4" s="4" t="s">
        <v>19</v>
      </c>
      <c r="B4" s="4" t="s">
        <v>58</v>
      </c>
      <c r="C4" s="4" t="s">
        <v>59</v>
      </c>
      <c r="D4" s="4" t="s">
        <v>60</v>
      </c>
      <c r="E4" s="4" t="s">
        <v>61</v>
      </c>
      <c r="F4" s="4" t="s">
        <v>62</v>
      </c>
      <c r="G4" s="4" t="s">
        <v>63</v>
      </c>
      <c r="H4" s="4" t="s">
        <v>64</v>
      </c>
      <c r="I4" s="4" t="s">
        <v>65</v>
      </c>
      <c r="J4" s="4" t="s">
        <v>66</v>
      </c>
    </row>
    <row r="5" spans="1:10" x14ac:dyDescent="0.3">
      <c r="A5" s="10" t="s">
        <v>36</v>
      </c>
      <c r="B5" s="10" t="s">
        <v>67</v>
      </c>
      <c r="C5" s="11">
        <f>IFERROR(MEDIAN(Coleta!L2:L21),"")</f>
        <v>0.5</v>
      </c>
      <c r="D5" s="11">
        <f>IFERROR(MEDIAN(Coleta!R2:R21),"")</f>
        <v>0</v>
      </c>
      <c r="E5" s="11">
        <f>IFERROR(QUARTILE(Coleta!L2:L21,3)-QUARTILE(Coleta!L2:L21,1),"")</f>
        <v>0.16666666666666663</v>
      </c>
      <c r="F5" s="11">
        <f>IFERROR(MEDIAN(Coleta!P2:P21),"")</f>
        <v>0</v>
      </c>
      <c r="G5" s="11">
        <f>IFERROR(AVERAGE(Coleta!M2:M21),"")</f>
        <v>0</v>
      </c>
      <c r="H5" s="12">
        <f>IFERROR(SUM(Coleta!K2:K21)/SUM(Coleta!J2:J21),"")</f>
        <v>1</v>
      </c>
      <c r="I5" s="13">
        <f>COUNT(Coleta!J2:J21)</f>
        <v>20</v>
      </c>
      <c r="J5" s="13" t="str">
        <f t="shared" ref="J5:J16" si="0">IF(I5&gt;=20,"Completo",I5&amp;"/20")</f>
        <v>Completo</v>
      </c>
    </row>
    <row r="6" spans="1:10" x14ac:dyDescent="0.3">
      <c r="A6" s="10" t="s">
        <v>40</v>
      </c>
      <c r="B6" s="10" t="s">
        <v>68</v>
      </c>
      <c r="C6" s="11">
        <f>IFERROR(MEDIAN(Coleta!L22:L41),"")</f>
        <v>0.5</v>
      </c>
      <c r="D6" s="11">
        <f>IFERROR(MEDIAN(Coleta!R22:R41),"")</f>
        <v>0</v>
      </c>
      <c r="E6" s="11">
        <f>IFERROR(QUARTILE(Coleta!L22:L41,3)-QUARTILE(Coleta!L22:L41,1),"")</f>
        <v>1.833333333333333</v>
      </c>
      <c r="F6" s="11">
        <f>IFERROR(MEDIAN(Coleta!P22:P41),"")</f>
        <v>0</v>
      </c>
      <c r="G6" s="11">
        <f>IFERROR(AVERAGE(Coleta!M22:M41),"")</f>
        <v>1.6666666666666665</v>
      </c>
      <c r="H6" s="12">
        <f>IFERROR(SUM(Coleta!K22:K41)/SUM(Coleta!J22:J41),"")</f>
        <v>0.98333333333333328</v>
      </c>
      <c r="I6" s="13">
        <f>COUNT(Coleta!J22:J41)</f>
        <v>20</v>
      </c>
      <c r="J6" s="13" t="str">
        <f t="shared" si="0"/>
        <v>Completo</v>
      </c>
    </row>
    <row r="7" spans="1:10" x14ac:dyDescent="0.3">
      <c r="A7" s="10" t="s">
        <v>41</v>
      </c>
      <c r="B7" s="10" t="s">
        <v>69</v>
      </c>
      <c r="C7" s="11">
        <f>IFERROR(MEDIAN(Coleta!L42:L61),"")</f>
        <v>0.5</v>
      </c>
      <c r="D7" s="11">
        <f>IFERROR(MEDIAN(Coleta!R42:R61),"")</f>
        <v>0</v>
      </c>
      <c r="E7" s="11">
        <f>IFERROR(QUARTILE(Coleta!L42:L61,3)-QUARTILE(Coleta!L42:L61,1),"")</f>
        <v>0.16666666666666663</v>
      </c>
      <c r="F7" s="11">
        <f>IFERROR(MEDIAN(Coleta!P42:P61),"")</f>
        <v>0</v>
      </c>
      <c r="G7" s="11">
        <f>IFERROR(AVERAGE(Coleta!M42:M61),"")</f>
        <v>1.6666666666666665</v>
      </c>
      <c r="H7" s="12">
        <f>IFERROR(SUM(Coleta!K42:K61)/SUM(Coleta!J42:J61),"")</f>
        <v>0.98333333333333328</v>
      </c>
      <c r="I7" s="13">
        <f>COUNT(Coleta!J42:J61)</f>
        <v>20</v>
      </c>
      <c r="J7" s="13" t="str">
        <f t="shared" si="0"/>
        <v>Completo</v>
      </c>
    </row>
    <row r="8" spans="1:10" x14ac:dyDescent="0.3">
      <c r="A8" s="10" t="s">
        <v>42</v>
      </c>
      <c r="B8" s="10" t="s">
        <v>70</v>
      </c>
      <c r="C8" s="11">
        <f>IFERROR(MEDIAN(Coleta!L62:L81),"")</f>
        <v>8.6666666666666661</v>
      </c>
      <c r="D8" s="11">
        <f>IFERROR(MEDIAN(Coleta!R62:R81),"")</f>
        <v>3.25</v>
      </c>
      <c r="E8" s="11">
        <f>IFERROR(QUARTILE(Coleta!L62:L81,3)-QUARTILE(Coleta!L62:L81,1),"")</f>
        <v>7.083333333333333</v>
      </c>
      <c r="F8" s="11">
        <f>IFERROR(MEDIAN(Coleta!P62:P81),"")</f>
        <v>7.5</v>
      </c>
      <c r="G8" s="11">
        <f>IFERROR(AVERAGE(Coleta!M62:M81),"")</f>
        <v>1.6666666666666665</v>
      </c>
      <c r="H8" s="12">
        <f>IFERROR(SUM(Coleta!K62:K81)/SUM(Coleta!J62:J81),"")</f>
        <v>0.98333333333333328</v>
      </c>
      <c r="I8" s="13">
        <f>COUNT(Coleta!J62:J81)</f>
        <v>20</v>
      </c>
      <c r="J8" s="13" t="str">
        <f t="shared" si="0"/>
        <v>Completo</v>
      </c>
    </row>
    <row r="9" spans="1:10" x14ac:dyDescent="0.3">
      <c r="A9" s="10" t="s">
        <v>43</v>
      </c>
      <c r="B9" s="10" t="s">
        <v>71</v>
      </c>
      <c r="C9" s="11">
        <f>IFERROR(MEDIAN(Coleta!L82:L101),"")</f>
        <v>7.5</v>
      </c>
      <c r="D9" s="11">
        <f>IFERROR(MEDIAN(Coleta!R82:R101),"")</f>
        <v>4.3333333333333339</v>
      </c>
      <c r="E9" s="11">
        <f>IFERROR(QUARTILE(Coleta!L82:L101,3)-QUARTILE(Coleta!L82:L101,1),"")</f>
        <v>8.4166666666666661</v>
      </c>
      <c r="F9" s="11">
        <f>IFERROR(MEDIAN(Coleta!P82:P101),"")</f>
        <v>9</v>
      </c>
      <c r="G9" s="11">
        <f>IFERROR(AVERAGE(Coleta!M82:M101),"")</f>
        <v>1.6666666666666665</v>
      </c>
      <c r="H9" s="12">
        <f>IFERROR(SUM(Coleta!K82:K101)/SUM(Coleta!J82:J101),"")</f>
        <v>0.98333333333333328</v>
      </c>
      <c r="I9" s="13">
        <f>COUNT(Coleta!J82:J101)</f>
        <v>20</v>
      </c>
      <c r="J9" s="13" t="str">
        <f t="shared" si="0"/>
        <v>Completo</v>
      </c>
    </row>
    <row r="10" spans="1:10" x14ac:dyDescent="0.3">
      <c r="A10" s="10" t="s">
        <v>44</v>
      </c>
      <c r="B10" s="10" t="s">
        <v>72</v>
      </c>
      <c r="C10" s="11">
        <f>IFERROR(MEDIAN(Coleta!L102:L121),"")</f>
        <v>8.3333333333333321</v>
      </c>
      <c r="D10" s="11">
        <f>IFERROR(MEDIAN(Coleta!R102:R121),"")</f>
        <v>2.25</v>
      </c>
      <c r="E10" s="11">
        <f>IFERROR(QUARTILE(Coleta!L102:L121,3)-QUARTILE(Coleta!L102:L121,1),"")</f>
        <v>4.125</v>
      </c>
      <c r="F10" s="11">
        <f>IFERROR(MEDIAN(Coleta!P102:P121),"")</f>
        <v>9.75</v>
      </c>
      <c r="G10" s="11">
        <f>IFERROR(AVERAGE(Coleta!M102:M121),"")</f>
        <v>1.6666666666666665</v>
      </c>
      <c r="H10" s="12">
        <f>IFERROR(SUM(Coleta!K102:K121)/SUM(Coleta!J102:J121),"")</f>
        <v>0.98333333333333328</v>
      </c>
      <c r="I10" s="13">
        <f>COUNT(Coleta!J102:J121)</f>
        <v>20</v>
      </c>
      <c r="J10" s="13" t="str">
        <f t="shared" si="0"/>
        <v>Completo</v>
      </c>
    </row>
    <row r="11" spans="1:10" x14ac:dyDescent="0.3">
      <c r="A11" s="10" t="s">
        <v>45</v>
      </c>
      <c r="B11" s="10" t="s">
        <v>73</v>
      </c>
      <c r="C11" s="11">
        <f>IFERROR(MEDIAN(Coleta!L122:L141),"")</f>
        <v>0.5</v>
      </c>
      <c r="D11" s="11">
        <f>IFERROR(MEDIAN(Coleta!R122:R141),"")</f>
        <v>0</v>
      </c>
      <c r="E11" s="11">
        <f>IFERROR(QUARTILE(Coleta!L122:L141,3)-QUARTILE(Coleta!L122:L141,1),"")</f>
        <v>0.16666666666666663</v>
      </c>
      <c r="F11" s="11">
        <f>IFERROR(MEDIAN(Coleta!P122:P141),"")</f>
        <v>0</v>
      </c>
      <c r="G11" s="11">
        <f>IFERROR(AVERAGE(Coleta!M122:M141),"")</f>
        <v>0</v>
      </c>
      <c r="H11" s="12">
        <f>IFERROR(SUM(Coleta!K122:K141)/SUM(Coleta!J122:J141),"")</f>
        <v>1</v>
      </c>
      <c r="I11" s="13">
        <f>COUNT(Coleta!J122:J141)</f>
        <v>20</v>
      </c>
      <c r="J11" s="13" t="str">
        <f t="shared" si="0"/>
        <v>Completo</v>
      </c>
    </row>
    <row r="12" spans="1:10" x14ac:dyDescent="0.3">
      <c r="A12" s="10" t="s">
        <v>47</v>
      </c>
      <c r="B12" s="10" t="s">
        <v>74</v>
      </c>
      <c r="C12" s="11">
        <f>IFERROR(MEDIAN(Coleta!L142:L161),"")</f>
        <v>0.5</v>
      </c>
      <c r="D12" s="11">
        <f>IFERROR(MEDIAN(Coleta!R142:R161),"")</f>
        <v>0</v>
      </c>
      <c r="E12" s="11">
        <f>IFERROR(QUARTILE(Coleta!L142:L161,3)-QUARTILE(Coleta!L142:L161,1),"")</f>
        <v>0.16666666666666663</v>
      </c>
      <c r="F12" s="11">
        <f>IFERROR(MEDIAN(Coleta!P142:P161),"")</f>
        <v>0</v>
      </c>
      <c r="G12" s="11">
        <f>IFERROR(AVERAGE(Coleta!M142:M161),"")</f>
        <v>1.6666666666666665</v>
      </c>
      <c r="H12" s="12">
        <f>IFERROR(SUM(Coleta!K142:K161)/SUM(Coleta!J142:J161),"")</f>
        <v>0.98333333333333328</v>
      </c>
      <c r="I12" s="13">
        <f>COUNT(Coleta!J142:J161)</f>
        <v>20</v>
      </c>
      <c r="J12" s="13" t="str">
        <f t="shared" si="0"/>
        <v>Completo</v>
      </c>
    </row>
    <row r="13" spans="1:10" x14ac:dyDescent="0.3">
      <c r="A13" s="10" t="s">
        <v>48</v>
      </c>
      <c r="B13" s="10" t="s">
        <v>75</v>
      </c>
      <c r="C13" s="11">
        <f>IFERROR(MEDIAN(Coleta!L162:L181),"")</f>
        <v>0.5</v>
      </c>
      <c r="D13" s="11">
        <f>IFERROR(MEDIAN(Coleta!R162:R181),"")</f>
        <v>0</v>
      </c>
      <c r="E13" s="11">
        <f>IFERROR(QUARTILE(Coleta!L162:L181,3)-QUARTILE(Coleta!L162:L181,1),"")</f>
        <v>0</v>
      </c>
      <c r="F13" s="11">
        <f>IFERROR(MEDIAN(Coleta!P162:P181),"")</f>
        <v>0</v>
      </c>
      <c r="G13" s="11">
        <f>IFERROR(AVERAGE(Coleta!M162:M181),"")</f>
        <v>0</v>
      </c>
      <c r="H13" s="12">
        <f>IFERROR(SUM(Coleta!K162:K181)/SUM(Coleta!J162:J181),"")</f>
        <v>1</v>
      </c>
      <c r="I13" s="13">
        <f>COUNT(Coleta!J162:J181)</f>
        <v>20</v>
      </c>
      <c r="J13" s="13" t="str">
        <f t="shared" si="0"/>
        <v>Completo</v>
      </c>
    </row>
    <row r="14" spans="1:10" x14ac:dyDescent="0.3">
      <c r="A14" s="10" t="s">
        <v>50</v>
      </c>
      <c r="B14" s="10" t="s">
        <v>76</v>
      </c>
      <c r="C14" s="11">
        <f>IFERROR(MEDIAN(Coleta!L182:L201),"")</f>
        <v>0.5</v>
      </c>
      <c r="D14" s="11">
        <f>IFERROR(MEDIAN(Coleta!R182:R201),"")</f>
        <v>0</v>
      </c>
      <c r="E14" s="11">
        <f>IFERROR(QUARTILE(Coleta!L182:L201,3)-QUARTILE(Coleta!L182:L201,1),"")</f>
        <v>0.16666666666666663</v>
      </c>
      <c r="F14" s="11">
        <f>IFERROR(MEDIAN(Coleta!P182:P201),"")</f>
        <v>0</v>
      </c>
      <c r="G14" s="11">
        <f>IFERROR(AVERAGE(Coleta!M182:M201),"")</f>
        <v>0</v>
      </c>
      <c r="H14" s="12">
        <f>IFERROR(SUM(Coleta!K182:K201)/SUM(Coleta!J182:J201),"")</f>
        <v>1</v>
      </c>
      <c r="I14" s="13">
        <f>COUNT(Coleta!J182:J201)</f>
        <v>20</v>
      </c>
      <c r="J14" s="13" t="str">
        <f t="shared" si="0"/>
        <v>Completo</v>
      </c>
    </row>
    <row r="15" spans="1:10" x14ac:dyDescent="0.3">
      <c r="A15" s="10" t="s">
        <v>52</v>
      </c>
      <c r="B15" s="10" t="s">
        <v>77</v>
      </c>
      <c r="C15" s="11">
        <f>IFERROR(MEDIAN(Coleta!L202:L221),"")</f>
        <v>0.5</v>
      </c>
      <c r="D15" s="11">
        <f>IFERROR(MEDIAN(Coleta!R202:R221),"")</f>
        <v>0</v>
      </c>
      <c r="E15" s="11">
        <f>IFERROR(QUARTILE(Coleta!L202:L221,3)-QUARTILE(Coleta!L202:L221,1),"")</f>
        <v>0.16666666666666663</v>
      </c>
      <c r="F15" s="11">
        <f>IFERROR(MEDIAN(Coleta!P202:P221),"")</f>
        <v>0</v>
      </c>
      <c r="G15" s="11">
        <f>IFERROR(AVERAGE(Coleta!M202:M221),"")</f>
        <v>1.6666666666666665</v>
      </c>
      <c r="H15" s="12">
        <f>IFERROR(SUM(Coleta!K202:K221)/SUM(Coleta!J202:J221),"")</f>
        <v>0.98333333333333328</v>
      </c>
      <c r="I15" s="13">
        <f>COUNT(Coleta!J202:J221)</f>
        <v>20</v>
      </c>
      <c r="J15" s="13" t="str">
        <f t="shared" si="0"/>
        <v>Completo</v>
      </c>
    </row>
    <row r="16" spans="1:10" x14ac:dyDescent="0.3">
      <c r="A16" s="10" t="s">
        <v>54</v>
      </c>
      <c r="B16" s="10" t="s">
        <v>78</v>
      </c>
      <c r="C16" s="11">
        <f>IFERROR(MEDIAN(Coleta!L222:L241),"")</f>
        <v>0.5</v>
      </c>
      <c r="D16" s="11">
        <f>IFERROR(MEDIAN(Coleta!R222:R241),"")</f>
        <v>0</v>
      </c>
      <c r="E16" s="11">
        <f>IFERROR(QUARTILE(Coleta!L222:L241,3)-QUARTILE(Coleta!L222:L241,1),"")</f>
        <v>4.166666666666663E-2</v>
      </c>
      <c r="F16" s="11">
        <f>IFERROR(MEDIAN(Coleta!P222:P241),"")</f>
        <v>0</v>
      </c>
      <c r="G16" s="11">
        <f>IFERROR(AVERAGE(Coleta!M222:M241),"")</f>
        <v>1.6666666666666665</v>
      </c>
      <c r="H16" s="12">
        <f>IFERROR(SUM(Coleta!K222:K241)/SUM(Coleta!J222:J241),"")</f>
        <v>0.98333333333333328</v>
      </c>
      <c r="I16" s="13">
        <f>COUNT(Coleta!J222:J241)</f>
        <v>20</v>
      </c>
      <c r="J16" s="13" t="str">
        <f t="shared" si="0"/>
        <v>Completo</v>
      </c>
    </row>
    <row r="18" spans="1:1" x14ac:dyDescent="0.3">
      <c r="A18" s="14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6"/>
  <sheetViews>
    <sheetView tabSelected="1" zoomScaleNormal="100" workbookViewId="0">
      <pane ySplit="1" topLeftCell="A296" activePane="bottomLeft" state="frozen"/>
      <selection pane="bottomLeft" activeCell="A346" sqref="A346"/>
    </sheetView>
  </sheetViews>
  <sheetFormatPr defaultColWidth="8.6640625" defaultRowHeight="14.4" x14ac:dyDescent="0.3"/>
  <cols>
    <col min="1" max="1" width="22" customWidth="1"/>
    <col min="2" max="2" width="26" customWidth="1"/>
    <col min="3" max="3" width="8" customWidth="1"/>
    <col min="4" max="4" width="14.77734375" bestFit="1" customWidth="1"/>
    <col min="5" max="6" width="6" customWidth="1"/>
    <col min="7" max="7" width="12" customWidth="1"/>
    <col min="8" max="9" width="10" customWidth="1"/>
    <col min="10" max="10" width="13" customWidth="1"/>
    <col min="11" max="11" width="11" customWidth="1"/>
  </cols>
  <sheetData>
    <row r="1" spans="1:11" x14ac:dyDescent="0.3">
      <c r="A1" s="22" t="s">
        <v>80</v>
      </c>
      <c r="B1" s="15" t="s">
        <v>19</v>
      </c>
      <c r="C1" s="15" t="s">
        <v>21</v>
      </c>
      <c r="D1" s="15" t="s">
        <v>22</v>
      </c>
      <c r="E1" s="15" t="s">
        <v>27</v>
      </c>
      <c r="F1" s="15" t="s">
        <v>28</v>
      </c>
      <c r="G1" s="15" t="s">
        <v>29</v>
      </c>
      <c r="H1" s="15" t="s">
        <v>30</v>
      </c>
      <c r="I1" s="15" t="s">
        <v>33</v>
      </c>
      <c r="J1" s="15" t="s">
        <v>34</v>
      </c>
      <c r="K1" s="15" t="s">
        <v>20</v>
      </c>
    </row>
    <row r="2" spans="1:11" x14ac:dyDescent="0.3">
      <c r="A2" s="16" t="str">
        <f>IF(Coleta!$J2="","",Coleta!F2)</f>
        <v>2026-10-18T01:50:00Z</v>
      </c>
      <c r="B2" s="16" t="str">
        <f>IF(Coleta!$J2="","",Coleta!B2)</f>
        <v>Probe-BR|192.168.10.10</v>
      </c>
      <c r="C2" s="16" t="str">
        <f>IF(Coleta!$J2="","",Coleta!D2)</f>
        <v>A</v>
      </c>
      <c r="D2" s="16" t="str">
        <f>IF(Coleta!$J2="","",Coleta!E2)</f>
        <v>Normal</v>
      </c>
      <c r="E2" s="16">
        <f>IF(Coleta!$J2="","",Coleta!J2)</f>
        <v>3</v>
      </c>
      <c r="F2" s="16">
        <f>IF(Coleta!$J2="","",Coleta!K2)</f>
        <v>3</v>
      </c>
      <c r="G2" s="16">
        <f>IF(Coleta!$J2="","",Coleta!L2)</f>
        <v>0.5</v>
      </c>
      <c r="H2" s="16">
        <f>IF(Coleta!$J2="","",Coleta!M2)</f>
        <v>0</v>
      </c>
      <c r="I2" s="16">
        <f>IF(Coleta!$J2="","",Coleta!P2)</f>
        <v>0</v>
      </c>
      <c r="J2" s="16">
        <f>IF(Coleta!$J2="","",Coleta!Q2)</f>
        <v>0</v>
      </c>
      <c r="K2" s="16" t="str">
        <f>IF(Coleta!$J2="","",Coleta!C2)</f>
        <v>Probe-BR</v>
      </c>
    </row>
    <row r="3" spans="1:11" x14ac:dyDescent="0.3">
      <c r="A3" s="16" t="str">
        <f>IF(Coleta!$J3="","",Coleta!F3)</f>
        <v>2026-10-18T02:08:00Z</v>
      </c>
      <c r="B3" s="16" t="str">
        <f>IF(Coleta!$J3="","",Coleta!B3)</f>
        <v>Probe-BR|192.168.10.10</v>
      </c>
      <c r="C3" s="16" t="str">
        <f>IF(Coleta!$J3="","",Coleta!D3)</f>
        <v>A</v>
      </c>
      <c r="D3" s="16" t="str">
        <f>IF(Coleta!$J3="","",Coleta!E3)</f>
        <v>Normal</v>
      </c>
      <c r="E3" s="16">
        <f>IF(Coleta!$J3="","",Coleta!J3)</f>
        <v>3</v>
      </c>
      <c r="F3" s="16">
        <f>IF(Coleta!$J3="","",Coleta!K3)</f>
        <v>3</v>
      </c>
      <c r="G3" s="16">
        <f>IF(Coleta!$J3="","",Coleta!L3)</f>
        <v>0.5</v>
      </c>
      <c r="H3" s="16">
        <f>IF(Coleta!$J3="","",Coleta!M3)</f>
        <v>0</v>
      </c>
      <c r="I3" s="16">
        <f>IF(Coleta!$J3="","",Coleta!P3)</f>
        <v>0</v>
      </c>
      <c r="J3" s="16">
        <f>IF(Coleta!$J3="","",Coleta!Q3)</f>
        <v>0</v>
      </c>
      <c r="K3" s="16" t="str">
        <f>IF(Coleta!$J3="","",Coleta!C3)</f>
        <v>Probe-BR</v>
      </c>
    </row>
    <row r="4" spans="1:11" x14ac:dyDescent="0.3">
      <c r="A4" s="16" t="str">
        <f>IF(Coleta!$J4="","",Coleta!F4)</f>
        <v>2026-10-18T02:15:00Z</v>
      </c>
      <c r="B4" s="16" t="str">
        <f>IF(Coleta!$J4="","",Coleta!B4)</f>
        <v>Probe-BR|192.168.10.10</v>
      </c>
      <c r="C4" s="16" t="str">
        <f>IF(Coleta!$J4="","",Coleta!D4)</f>
        <v>A</v>
      </c>
      <c r="D4" s="16" t="str">
        <f>IF(Coleta!$J4="","",Coleta!E4)</f>
        <v>Normal</v>
      </c>
      <c r="E4" s="16">
        <f>IF(Coleta!$J4="","",Coleta!J4)</f>
        <v>3</v>
      </c>
      <c r="F4" s="16">
        <f>IF(Coleta!$J4="","",Coleta!K4)</f>
        <v>3</v>
      </c>
      <c r="G4" s="16">
        <f>IF(Coleta!$J4="","",Coleta!L4)</f>
        <v>0.5</v>
      </c>
      <c r="H4" s="16">
        <f>IF(Coleta!$J4="","",Coleta!M4)</f>
        <v>0</v>
      </c>
      <c r="I4" s="16">
        <f>IF(Coleta!$J4="","",Coleta!P4)</f>
        <v>0</v>
      </c>
      <c r="J4" s="16">
        <f>IF(Coleta!$J4="","",Coleta!Q4)</f>
        <v>0</v>
      </c>
      <c r="K4" s="16" t="str">
        <f>IF(Coleta!$J4="","",Coleta!C4)</f>
        <v>Probe-BR</v>
      </c>
    </row>
    <row r="5" spans="1:11" x14ac:dyDescent="0.3">
      <c r="A5" s="16" t="str">
        <f>IF(Coleta!$J5="","",Coleta!F5)</f>
        <v>2026-10-18T02:20:00Z</v>
      </c>
      <c r="B5" s="16" t="str">
        <f>IF(Coleta!$J5="","",Coleta!B5)</f>
        <v>Probe-BR|192.168.10.10</v>
      </c>
      <c r="C5" s="16" t="str">
        <f>IF(Coleta!$J5="","",Coleta!D5)</f>
        <v>A</v>
      </c>
      <c r="D5" s="16" t="str">
        <f>IF(Coleta!$J5="","",Coleta!E5)</f>
        <v>Normal</v>
      </c>
      <c r="E5" s="16">
        <f>IF(Coleta!$J5="","",Coleta!J5)</f>
        <v>3</v>
      </c>
      <c r="F5" s="16">
        <f>IF(Coleta!$J5="","",Coleta!K5)</f>
        <v>3</v>
      </c>
      <c r="G5" s="16">
        <f>IF(Coleta!$J5="","",Coleta!L5)</f>
        <v>5</v>
      </c>
      <c r="H5" s="16">
        <f>IF(Coleta!$J5="","",Coleta!M5)</f>
        <v>0</v>
      </c>
      <c r="I5" s="16">
        <f>IF(Coleta!$J5="","",Coleta!P5)</f>
        <v>6.75</v>
      </c>
      <c r="J5" s="16">
        <f>IF(Coleta!$J5="","",Coleta!Q5)</f>
        <v>0</v>
      </c>
      <c r="K5" s="16" t="str">
        <f>IF(Coleta!$J5="","",Coleta!C5)</f>
        <v>Probe-BR</v>
      </c>
    </row>
    <row r="6" spans="1:11" x14ac:dyDescent="0.3">
      <c r="A6" s="16" t="str">
        <f>IF(Coleta!$J6="","",Coleta!F6)</f>
        <v>2026-10-18T02:36:00Z</v>
      </c>
      <c r="B6" s="16" t="str">
        <f>IF(Coleta!$J6="","",Coleta!B6)</f>
        <v>Probe-BR|192.168.10.10</v>
      </c>
      <c r="C6" s="16" t="str">
        <f>IF(Coleta!$J6="","",Coleta!D6)</f>
        <v>A</v>
      </c>
      <c r="D6" s="16" t="str">
        <f>IF(Coleta!$J6="","",Coleta!E6)</f>
        <v>Normal</v>
      </c>
      <c r="E6" s="16">
        <f>IF(Coleta!$J6="","",Coleta!J6)</f>
        <v>3</v>
      </c>
      <c r="F6" s="16">
        <f>IF(Coleta!$J6="","",Coleta!K6)</f>
        <v>3</v>
      </c>
      <c r="G6" s="16">
        <f>IF(Coleta!$J6="","",Coleta!L6)</f>
        <v>0.66666666666666663</v>
      </c>
      <c r="H6" s="16">
        <f>IF(Coleta!$J6="","",Coleta!M6)</f>
        <v>0</v>
      </c>
      <c r="I6" s="16">
        <f>IF(Coleta!$J6="","",Coleta!P6)</f>
        <v>0.5</v>
      </c>
      <c r="J6" s="16">
        <f>IF(Coleta!$J6="","",Coleta!Q6)</f>
        <v>0</v>
      </c>
      <c r="K6" s="16" t="str">
        <f>IF(Coleta!$J6="","",Coleta!C6)</f>
        <v>Probe-BR</v>
      </c>
    </row>
    <row r="7" spans="1:11" x14ac:dyDescent="0.3">
      <c r="A7" s="16" t="str">
        <f>IF(Coleta!$J7="","",Coleta!F7)</f>
        <v>2026-10-18T02:39:00Z</v>
      </c>
      <c r="B7" s="16" t="str">
        <f>IF(Coleta!$J7="","",Coleta!B7)</f>
        <v>Probe-BR|192.168.10.10</v>
      </c>
      <c r="C7" s="16" t="str">
        <f>IF(Coleta!$J7="","",Coleta!D7)</f>
        <v>A</v>
      </c>
      <c r="D7" s="16" t="str">
        <f>IF(Coleta!$J7="","",Coleta!E7)</f>
        <v>Normal</v>
      </c>
      <c r="E7" s="16">
        <f>IF(Coleta!$J7="","",Coleta!J7)</f>
        <v>3</v>
      </c>
      <c r="F7" s="16">
        <f>IF(Coleta!$J7="","",Coleta!K7)</f>
        <v>3</v>
      </c>
      <c r="G7" s="16">
        <f>IF(Coleta!$J7="","",Coleta!L7)</f>
        <v>0.66666666666666663</v>
      </c>
      <c r="H7" s="16">
        <f>IF(Coleta!$J7="","",Coleta!M7)</f>
        <v>0</v>
      </c>
      <c r="I7" s="16">
        <f>IF(Coleta!$J7="","",Coleta!P7)</f>
        <v>0.5</v>
      </c>
      <c r="J7" s="16">
        <f>IF(Coleta!$J7="","",Coleta!Q7)</f>
        <v>0</v>
      </c>
      <c r="K7" s="16" t="str">
        <f>IF(Coleta!$J7="","",Coleta!C7)</f>
        <v>Probe-BR</v>
      </c>
    </row>
    <row r="8" spans="1:11" x14ac:dyDescent="0.3">
      <c r="A8" s="16" t="str">
        <f>IF(Coleta!$J8="","",Coleta!F8)</f>
        <v>2026-10-18T02:40:00Z</v>
      </c>
      <c r="B8" s="16" t="str">
        <f>IF(Coleta!$J8="","",Coleta!B8)</f>
        <v>Probe-BR|192.168.10.10</v>
      </c>
      <c r="C8" s="16" t="str">
        <f>IF(Coleta!$J8="","",Coleta!D8)</f>
        <v>A</v>
      </c>
      <c r="D8" s="16" t="str">
        <f>IF(Coleta!$J8="","",Coleta!E8)</f>
        <v>Normal</v>
      </c>
      <c r="E8" s="16">
        <f>IF(Coleta!$J8="","",Coleta!J8)</f>
        <v>3</v>
      </c>
      <c r="F8" s="16">
        <f>IF(Coleta!$J8="","",Coleta!K8)</f>
        <v>3</v>
      </c>
      <c r="G8" s="16">
        <f>IF(Coleta!$J8="","",Coleta!L8)</f>
        <v>0.5</v>
      </c>
      <c r="H8" s="16">
        <f>IF(Coleta!$J8="","",Coleta!M8)</f>
        <v>0</v>
      </c>
      <c r="I8" s="16">
        <f>IF(Coleta!$J8="","",Coleta!P8)</f>
        <v>0</v>
      </c>
      <c r="J8" s="16">
        <f>IF(Coleta!$J8="","",Coleta!Q8)</f>
        <v>0</v>
      </c>
      <c r="K8" s="16" t="str">
        <f>IF(Coleta!$J8="","",Coleta!C8)</f>
        <v>Probe-BR</v>
      </c>
    </row>
    <row r="9" spans="1:11" x14ac:dyDescent="0.3">
      <c r="A9" s="16" t="str">
        <f>IF(Coleta!$J9="","",Coleta!F9)</f>
        <v>2026-10-18T02:43:00Z</v>
      </c>
      <c r="B9" s="16" t="str">
        <f>IF(Coleta!$J9="","",Coleta!B9)</f>
        <v>Probe-BR|192.168.10.10</v>
      </c>
      <c r="C9" s="16" t="str">
        <f>IF(Coleta!$J9="","",Coleta!D9)</f>
        <v>A</v>
      </c>
      <c r="D9" s="16" t="str">
        <f>IF(Coleta!$J9="","",Coleta!E9)</f>
        <v>Normal</v>
      </c>
      <c r="E9" s="16">
        <f>IF(Coleta!$J9="","",Coleta!J9)</f>
        <v>3</v>
      </c>
      <c r="F9" s="16">
        <f>IF(Coleta!$J9="","",Coleta!K9)</f>
        <v>3</v>
      </c>
      <c r="G9" s="16">
        <f>IF(Coleta!$J9="","",Coleta!L9)</f>
        <v>0.66666666666666663</v>
      </c>
      <c r="H9" s="16">
        <f>IF(Coleta!$J9="","",Coleta!M9)</f>
        <v>0</v>
      </c>
      <c r="I9" s="16">
        <f>IF(Coleta!$J9="","",Coleta!P9)</f>
        <v>0.5</v>
      </c>
      <c r="J9" s="16">
        <f>IF(Coleta!$J9="","",Coleta!Q9)</f>
        <v>0</v>
      </c>
      <c r="K9" s="16" t="str">
        <f>IF(Coleta!$J9="","",Coleta!C9)</f>
        <v>Probe-BR</v>
      </c>
    </row>
    <row r="10" spans="1:11" x14ac:dyDescent="0.3">
      <c r="A10" s="16" t="str">
        <f>IF(Coleta!$J10="","",Coleta!F10)</f>
        <v>2026-10-18T02:46:00Z</v>
      </c>
      <c r="B10" s="16" t="str">
        <f>IF(Coleta!$J10="","",Coleta!B10)</f>
        <v>Probe-BR|192.168.10.10</v>
      </c>
      <c r="C10" s="16" t="str">
        <f>IF(Coleta!$J10="","",Coleta!D10)</f>
        <v>A</v>
      </c>
      <c r="D10" s="16" t="str">
        <f>IF(Coleta!$J10="","",Coleta!E10)</f>
        <v>Normal</v>
      </c>
      <c r="E10" s="16">
        <f>IF(Coleta!$J10="","",Coleta!J10)</f>
        <v>3</v>
      </c>
      <c r="F10" s="16">
        <f>IF(Coleta!$J10="","",Coleta!K10)</f>
        <v>3</v>
      </c>
      <c r="G10" s="16">
        <f>IF(Coleta!$J10="","",Coleta!L10)</f>
        <v>0.5</v>
      </c>
      <c r="H10" s="16">
        <f>IF(Coleta!$J10="","",Coleta!M10)</f>
        <v>0</v>
      </c>
      <c r="I10" s="16">
        <f>IF(Coleta!$J10="","",Coleta!P10)</f>
        <v>0</v>
      </c>
      <c r="J10" s="16">
        <f>IF(Coleta!$J10="","",Coleta!Q10)</f>
        <v>0</v>
      </c>
      <c r="K10" s="16" t="str">
        <f>IF(Coleta!$J10="","",Coleta!C10)</f>
        <v>Probe-BR</v>
      </c>
    </row>
    <row r="11" spans="1:11" x14ac:dyDescent="0.3">
      <c r="A11" s="16" t="str">
        <f>IF(Coleta!$J11="","",Coleta!F11)</f>
        <v>2026-10-18T02:49:00Z</v>
      </c>
      <c r="B11" s="16" t="str">
        <f>IF(Coleta!$J11="","",Coleta!B11)</f>
        <v>Probe-BR|192.168.10.10</v>
      </c>
      <c r="C11" s="16" t="str">
        <f>IF(Coleta!$J11="","",Coleta!D11)</f>
        <v>A</v>
      </c>
      <c r="D11" s="16" t="str">
        <f>IF(Coleta!$J11="","",Coleta!E11)</f>
        <v>Normal</v>
      </c>
      <c r="E11" s="16">
        <f>IF(Coleta!$J11="","",Coleta!J11)</f>
        <v>3</v>
      </c>
      <c r="F11" s="16">
        <f>IF(Coleta!$J11="","",Coleta!K11)</f>
        <v>3</v>
      </c>
      <c r="G11" s="16">
        <f>IF(Coleta!$J11="","",Coleta!L11)</f>
        <v>0.5</v>
      </c>
      <c r="H11" s="16">
        <f>IF(Coleta!$J11="","",Coleta!M11)</f>
        <v>0</v>
      </c>
      <c r="I11" s="16">
        <f>IF(Coleta!$J11="","",Coleta!P11)</f>
        <v>0</v>
      </c>
      <c r="J11" s="16">
        <f>IF(Coleta!$J11="","",Coleta!Q11)</f>
        <v>0</v>
      </c>
      <c r="K11" s="16" t="str">
        <f>IF(Coleta!$J11="","",Coleta!C11)</f>
        <v>Probe-BR</v>
      </c>
    </row>
    <row r="12" spans="1:11" x14ac:dyDescent="0.3">
      <c r="A12" s="16" t="str">
        <f>IF(Coleta!$J12="","",Coleta!F12)</f>
        <v>2026-10-18T02:51:00Z</v>
      </c>
      <c r="B12" s="16" t="str">
        <f>IF(Coleta!$J12="","",Coleta!B12)</f>
        <v>Probe-BR|192.168.10.10</v>
      </c>
      <c r="C12" s="16" t="str">
        <f>IF(Coleta!$J12="","",Coleta!D12)</f>
        <v>A</v>
      </c>
      <c r="D12" s="16" t="str">
        <f>IF(Coleta!$J12="","",Coleta!E12)</f>
        <v>Normal</v>
      </c>
      <c r="E12" s="16">
        <f>IF(Coleta!$J12="","",Coleta!J12)</f>
        <v>3</v>
      </c>
      <c r="F12" s="16">
        <f>IF(Coleta!$J12="","",Coleta!K12)</f>
        <v>3</v>
      </c>
      <c r="G12" s="16">
        <f>IF(Coleta!$J12="","",Coleta!L12)</f>
        <v>0.5</v>
      </c>
      <c r="H12" s="16">
        <f>IF(Coleta!$J12="","",Coleta!M12)</f>
        <v>0</v>
      </c>
      <c r="I12" s="16">
        <f>IF(Coleta!$J12="","",Coleta!P12)</f>
        <v>0</v>
      </c>
      <c r="J12" s="16">
        <f>IF(Coleta!$J12="","",Coleta!Q12)</f>
        <v>0</v>
      </c>
      <c r="K12" s="16" t="str">
        <f>IF(Coleta!$J12="","",Coleta!C12)</f>
        <v>Probe-BR</v>
      </c>
    </row>
    <row r="13" spans="1:11" x14ac:dyDescent="0.3">
      <c r="A13" s="16" t="str">
        <f>IF(Coleta!$J13="","",Coleta!F13)</f>
        <v>2026-10-18T02:53:00Z</v>
      </c>
      <c r="B13" s="16" t="str">
        <f>IF(Coleta!$J13="","",Coleta!B13)</f>
        <v>Probe-BR|192.168.10.10</v>
      </c>
      <c r="C13" s="16" t="str">
        <f>IF(Coleta!$J13="","",Coleta!D13)</f>
        <v>A</v>
      </c>
      <c r="D13" s="16" t="str">
        <f>IF(Coleta!$J13="","",Coleta!E13)</f>
        <v>Normal</v>
      </c>
      <c r="E13" s="16">
        <f>IF(Coleta!$J13="","",Coleta!J13)</f>
        <v>3</v>
      </c>
      <c r="F13" s="16">
        <f>IF(Coleta!$J13="","",Coleta!K13)</f>
        <v>3</v>
      </c>
      <c r="G13" s="16">
        <f>IF(Coleta!$J13="","",Coleta!L13)</f>
        <v>7.666666666666667</v>
      </c>
      <c r="H13" s="16">
        <f>IF(Coleta!$J13="","",Coleta!M13)</f>
        <v>0</v>
      </c>
      <c r="I13" s="16">
        <f>IF(Coleta!$J13="","",Coleta!P13)</f>
        <v>10.75</v>
      </c>
      <c r="J13" s="16">
        <f>IF(Coleta!$J13="","",Coleta!Q13)</f>
        <v>0</v>
      </c>
      <c r="K13" s="16" t="str">
        <f>IF(Coleta!$J13="","",Coleta!C13)</f>
        <v>Probe-BR</v>
      </c>
    </row>
    <row r="14" spans="1:11" x14ac:dyDescent="0.3">
      <c r="A14" s="16" t="str">
        <f>IF(Coleta!$J14="","",Coleta!F14)</f>
        <v>2026-10-18T02:55:00Z</v>
      </c>
      <c r="B14" s="16" t="str">
        <f>IF(Coleta!$J14="","",Coleta!B14)</f>
        <v>Probe-BR|192.168.10.10</v>
      </c>
      <c r="C14" s="16" t="str">
        <f>IF(Coleta!$J14="","",Coleta!D14)</f>
        <v>A</v>
      </c>
      <c r="D14" s="16" t="str">
        <f>IF(Coleta!$J14="","",Coleta!E14)</f>
        <v>Normal</v>
      </c>
      <c r="E14" s="16">
        <f>IF(Coleta!$J14="","",Coleta!J14)</f>
        <v>3</v>
      </c>
      <c r="F14" s="16">
        <f>IF(Coleta!$J14="","",Coleta!K14)</f>
        <v>3</v>
      </c>
      <c r="G14" s="16">
        <f>IF(Coleta!$J14="","",Coleta!L14)</f>
        <v>0.5</v>
      </c>
      <c r="H14" s="16">
        <f>IF(Coleta!$J14="","",Coleta!M14)</f>
        <v>0</v>
      </c>
      <c r="I14" s="16">
        <f>IF(Coleta!$J14="","",Coleta!P14)</f>
        <v>0</v>
      </c>
      <c r="J14" s="16">
        <f>IF(Coleta!$J14="","",Coleta!Q14)</f>
        <v>0</v>
      </c>
      <c r="K14" s="16" t="str">
        <f>IF(Coleta!$J14="","",Coleta!C14)</f>
        <v>Probe-BR</v>
      </c>
    </row>
    <row r="15" spans="1:11" x14ac:dyDescent="0.3">
      <c r="A15" s="16" t="str">
        <f>IF(Coleta!$J15="","",Coleta!F15)</f>
        <v>2026-10-18T02:57:00Z</v>
      </c>
      <c r="B15" s="16" t="str">
        <f>IF(Coleta!$J15="","",Coleta!B15)</f>
        <v>Probe-BR|192.168.10.10</v>
      </c>
      <c r="C15" s="16" t="str">
        <f>IF(Coleta!$J15="","",Coleta!D15)</f>
        <v>A</v>
      </c>
      <c r="D15" s="16" t="str">
        <f>IF(Coleta!$J15="","",Coleta!E15)</f>
        <v>Normal</v>
      </c>
      <c r="E15" s="16">
        <f>IF(Coleta!$J15="","",Coleta!J15)</f>
        <v>3</v>
      </c>
      <c r="F15" s="16">
        <f>IF(Coleta!$J15="","",Coleta!K15)</f>
        <v>3</v>
      </c>
      <c r="G15" s="16">
        <f>IF(Coleta!$J15="","",Coleta!L15)</f>
        <v>4.333333333333333</v>
      </c>
      <c r="H15" s="16">
        <f>IF(Coleta!$J15="","",Coleta!M15)</f>
        <v>0</v>
      </c>
      <c r="I15" s="16">
        <f>IF(Coleta!$J15="","",Coleta!P15)</f>
        <v>11.5</v>
      </c>
      <c r="J15" s="16">
        <f>IF(Coleta!$J15="","",Coleta!Q15)</f>
        <v>0</v>
      </c>
      <c r="K15" s="16" t="str">
        <f>IF(Coleta!$J15="","",Coleta!C15)</f>
        <v>Probe-BR</v>
      </c>
    </row>
    <row r="16" spans="1:11" x14ac:dyDescent="0.3">
      <c r="A16" s="16" t="str">
        <f>IF(Coleta!$J16="","",Coleta!F16)</f>
        <v>2026-10-18T02:59:00Z</v>
      </c>
      <c r="B16" s="16" t="str">
        <f>IF(Coleta!$J16="","",Coleta!B16)</f>
        <v>Probe-BR|192.168.10.10</v>
      </c>
      <c r="C16" s="16" t="str">
        <f>IF(Coleta!$J16="","",Coleta!D16)</f>
        <v>A</v>
      </c>
      <c r="D16" s="16" t="str">
        <f>IF(Coleta!$J16="","",Coleta!E16)</f>
        <v>Normal</v>
      </c>
      <c r="E16" s="16">
        <f>IF(Coleta!$J16="","",Coleta!J16)</f>
        <v>3</v>
      </c>
      <c r="F16" s="16">
        <f>IF(Coleta!$J16="","",Coleta!K16)</f>
        <v>3</v>
      </c>
      <c r="G16" s="16">
        <f>IF(Coleta!$J16="","",Coleta!L16)</f>
        <v>0.5</v>
      </c>
      <c r="H16" s="16">
        <f>IF(Coleta!$J16="","",Coleta!M16)</f>
        <v>0</v>
      </c>
      <c r="I16" s="16">
        <f>IF(Coleta!$J16="","",Coleta!P16)</f>
        <v>0</v>
      </c>
      <c r="J16" s="16">
        <f>IF(Coleta!$J16="","",Coleta!Q16)</f>
        <v>0</v>
      </c>
      <c r="K16" s="16" t="str">
        <f>IF(Coleta!$J16="","",Coleta!C16)</f>
        <v>Probe-BR</v>
      </c>
    </row>
    <row r="17" spans="1:11" x14ac:dyDescent="0.3">
      <c r="A17" s="16" t="str">
        <f>IF(Coleta!$J17="","",Coleta!F17)</f>
        <v>2026-10-18T03:01:00Z</v>
      </c>
      <c r="B17" s="16" t="str">
        <f>IF(Coleta!$J17="","",Coleta!B17)</f>
        <v>Probe-BR|192.168.10.10</v>
      </c>
      <c r="C17" s="16" t="str">
        <f>IF(Coleta!$J17="","",Coleta!D17)</f>
        <v>A</v>
      </c>
      <c r="D17" s="16" t="str">
        <f>IF(Coleta!$J17="","",Coleta!E17)</f>
        <v>Normal</v>
      </c>
      <c r="E17" s="16">
        <f>IF(Coleta!$J17="","",Coleta!J17)</f>
        <v>3</v>
      </c>
      <c r="F17" s="16">
        <f>IF(Coleta!$J17="","",Coleta!K17)</f>
        <v>3</v>
      </c>
      <c r="G17" s="16">
        <f>IF(Coleta!$J17="","",Coleta!L17)</f>
        <v>0.5</v>
      </c>
      <c r="H17" s="16">
        <f>IF(Coleta!$J17="","",Coleta!M17)</f>
        <v>0</v>
      </c>
      <c r="I17" s="16">
        <f>IF(Coleta!$J17="","",Coleta!P17)</f>
        <v>0</v>
      </c>
      <c r="J17" s="16">
        <f>IF(Coleta!$J17="","",Coleta!Q17)</f>
        <v>0</v>
      </c>
      <c r="K17" s="16" t="str">
        <f>IF(Coleta!$J17="","",Coleta!C17)</f>
        <v>Probe-BR</v>
      </c>
    </row>
    <row r="18" spans="1:11" x14ac:dyDescent="0.3">
      <c r="A18" s="16" t="str">
        <f>IF(Coleta!$J18="","",Coleta!F18)</f>
        <v>2026-10-18T03:03:00Z</v>
      </c>
      <c r="B18" s="16" t="str">
        <f>IF(Coleta!$J18="","",Coleta!B18)</f>
        <v>Probe-BR|192.168.10.10</v>
      </c>
      <c r="C18" s="16" t="str">
        <f>IF(Coleta!$J18="","",Coleta!D18)</f>
        <v>A</v>
      </c>
      <c r="D18" s="16" t="str">
        <f>IF(Coleta!$J18="","",Coleta!E18)</f>
        <v>Normal</v>
      </c>
      <c r="E18" s="16">
        <f>IF(Coleta!$J18="","",Coleta!J18)</f>
        <v>3</v>
      </c>
      <c r="F18" s="16">
        <f>IF(Coleta!$J18="","",Coleta!K18)</f>
        <v>3</v>
      </c>
      <c r="G18" s="16">
        <f>IF(Coleta!$J18="","",Coleta!L18)</f>
        <v>0.5</v>
      </c>
      <c r="H18" s="16">
        <f>IF(Coleta!$J18="","",Coleta!M18)</f>
        <v>0</v>
      </c>
      <c r="I18" s="16">
        <f>IF(Coleta!$J18="","",Coleta!P18)</f>
        <v>0</v>
      </c>
      <c r="J18" s="16">
        <f>IF(Coleta!$J18="","",Coleta!Q18)</f>
        <v>0</v>
      </c>
      <c r="K18" s="16" t="str">
        <f>IF(Coleta!$J18="","",Coleta!C18)</f>
        <v>Probe-BR</v>
      </c>
    </row>
    <row r="19" spans="1:11" x14ac:dyDescent="0.3">
      <c r="A19" s="16" t="str">
        <f>IF(Coleta!$J19="","",Coleta!F19)</f>
        <v>2026-10-18T03:04:00Z</v>
      </c>
      <c r="B19" s="16" t="str">
        <f>IF(Coleta!$J19="","",Coleta!B19)</f>
        <v>Probe-BR|192.168.10.10</v>
      </c>
      <c r="C19" s="16" t="str">
        <f>IF(Coleta!$J19="","",Coleta!D19)</f>
        <v>A</v>
      </c>
      <c r="D19" s="16" t="str">
        <f>IF(Coleta!$J19="","",Coleta!E19)</f>
        <v>Normal</v>
      </c>
      <c r="E19" s="16">
        <f>IF(Coleta!$J19="","",Coleta!J19)</f>
        <v>3</v>
      </c>
      <c r="F19" s="16">
        <f>IF(Coleta!$J19="","",Coleta!K19)</f>
        <v>3</v>
      </c>
      <c r="G19" s="16">
        <f>IF(Coleta!$J19="","",Coleta!L19)</f>
        <v>0.5</v>
      </c>
      <c r="H19" s="16">
        <f>IF(Coleta!$J19="","",Coleta!M19)</f>
        <v>0</v>
      </c>
      <c r="I19" s="16">
        <f>IF(Coleta!$J19="","",Coleta!P19)</f>
        <v>0</v>
      </c>
      <c r="J19" s="16">
        <f>IF(Coleta!$J19="","",Coleta!Q19)</f>
        <v>0</v>
      </c>
      <c r="K19" s="16" t="str">
        <f>IF(Coleta!$J19="","",Coleta!C19)</f>
        <v>Probe-BR</v>
      </c>
    </row>
    <row r="20" spans="1:11" x14ac:dyDescent="0.3">
      <c r="A20" s="16" t="str">
        <f>IF(Coleta!$J20="","",Coleta!F20)</f>
        <v>2026-10-18T03:06:00Z</v>
      </c>
      <c r="B20" s="16" t="str">
        <f>IF(Coleta!$J20="","",Coleta!B20)</f>
        <v>Probe-BR|192.168.10.10</v>
      </c>
      <c r="C20" s="16" t="str">
        <f>IF(Coleta!$J20="","",Coleta!D20)</f>
        <v>A</v>
      </c>
      <c r="D20" s="16" t="str">
        <f>IF(Coleta!$J20="","",Coleta!E20)</f>
        <v>Normal</v>
      </c>
      <c r="E20" s="16">
        <f>IF(Coleta!$J20="","",Coleta!J20)</f>
        <v>3</v>
      </c>
      <c r="F20" s="16">
        <f>IF(Coleta!$J20="","",Coleta!K20)</f>
        <v>3</v>
      </c>
      <c r="G20" s="16">
        <f>IF(Coleta!$J20="","",Coleta!L20)</f>
        <v>0.5</v>
      </c>
      <c r="H20" s="16">
        <f>IF(Coleta!$J20="","",Coleta!M20)</f>
        <v>0</v>
      </c>
      <c r="I20" s="16">
        <f>IF(Coleta!$J20="","",Coleta!P20)</f>
        <v>0</v>
      </c>
      <c r="J20" s="16">
        <f>IF(Coleta!$J20="","",Coleta!Q20)</f>
        <v>0</v>
      </c>
      <c r="K20" s="16" t="str">
        <f>IF(Coleta!$J20="","",Coleta!C20)</f>
        <v>Probe-BR</v>
      </c>
    </row>
    <row r="21" spans="1:11" x14ac:dyDescent="0.3">
      <c r="A21" s="16" t="str">
        <f>IF(Coleta!$J21="","",Coleta!F21)</f>
        <v>2026-10-18T03:09:00Z</v>
      </c>
      <c r="B21" s="16" t="str">
        <f>IF(Coleta!$J21="","",Coleta!B21)</f>
        <v>Probe-BR|192.168.10.10</v>
      </c>
      <c r="C21" s="16" t="str">
        <f>IF(Coleta!$J21="","",Coleta!D21)</f>
        <v>A</v>
      </c>
      <c r="D21" s="16" t="str">
        <f>IF(Coleta!$J21="","",Coleta!E21)</f>
        <v>Normal</v>
      </c>
      <c r="E21" s="16">
        <f>IF(Coleta!$J21="","",Coleta!J21)</f>
        <v>3</v>
      </c>
      <c r="F21" s="16">
        <f>IF(Coleta!$J21="","",Coleta!K21)</f>
        <v>3</v>
      </c>
      <c r="G21" s="16">
        <f>IF(Coleta!$J21="","",Coleta!L21)</f>
        <v>0.5</v>
      </c>
      <c r="H21" s="16">
        <f>IF(Coleta!$J21="","",Coleta!M21)</f>
        <v>0</v>
      </c>
      <c r="I21" s="16">
        <f>IF(Coleta!$J21="","",Coleta!P21)</f>
        <v>0</v>
      </c>
      <c r="J21" s="16">
        <f>IF(Coleta!$J21="","",Coleta!Q21)</f>
        <v>0</v>
      </c>
      <c r="K21" s="16" t="str">
        <f>IF(Coleta!$J21="","",Coleta!C21)</f>
        <v>Probe-BR</v>
      </c>
    </row>
    <row r="22" spans="1:11" x14ac:dyDescent="0.3">
      <c r="A22" s="16" t="str">
        <f>IF(Coleta!$J22="","",Coleta!F22)</f>
        <v>2026-10-18T03:11:00Z</v>
      </c>
      <c r="B22" s="16" t="str">
        <f>IF(Coleta!$J22="","",Coleta!B22)</f>
        <v>Probe-BR|192.168.11.10</v>
      </c>
      <c r="C22" s="16" t="str">
        <f>IF(Coleta!$J22="","",Coleta!D22)</f>
        <v>A</v>
      </c>
      <c r="D22" s="16" t="str">
        <f>IF(Coleta!$J22="","",Coleta!E22)</f>
        <v>Normal</v>
      </c>
      <c r="E22" s="16">
        <f>IF(Coleta!$J22="","",Coleta!J22)</f>
        <v>3</v>
      </c>
      <c r="F22" s="16">
        <f>IF(Coleta!$J22="","",Coleta!K22)</f>
        <v>2</v>
      </c>
      <c r="G22" s="16">
        <f>IF(Coleta!$J22="","",Coleta!L22)</f>
        <v>10.75</v>
      </c>
      <c r="H22" s="16">
        <f>IF(Coleta!$J22="","",Coleta!M22)</f>
        <v>33.333333333333329</v>
      </c>
      <c r="I22" s="16">
        <f>IF(Coleta!$J22="","",Coleta!P22)</f>
        <v>20.5</v>
      </c>
      <c r="J22" s="16">
        <f>IF(Coleta!$J22="","",Coleta!Q22)</f>
        <v>0</v>
      </c>
      <c r="K22" s="16" t="str">
        <f>IF(Coleta!$J22="","",Coleta!C22)</f>
        <v>Probe-BR</v>
      </c>
    </row>
    <row r="23" spans="1:11" x14ac:dyDescent="0.3">
      <c r="A23" s="16" t="str">
        <f>IF(Coleta!$J23="","",Coleta!F23)</f>
        <v>2026-10-18T03:14:00Z</v>
      </c>
      <c r="B23" s="16" t="str">
        <f>IF(Coleta!$J23="","",Coleta!B23)</f>
        <v>Probe-BR|192.168.11.10</v>
      </c>
      <c r="C23" s="16" t="str">
        <f>IF(Coleta!$J23="","",Coleta!D23)</f>
        <v>A</v>
      </c>
      <c r="D23" s="16" t="str">
        <f>IF(Coleta!$J23="","",Coleta!E23)</f>
        <v>Normal</v>
      </c>
      <c r="E23" s="16">
        <f>IF(Coleta!$J23="","",Coleta!J23)</f>
        <v>3</v>
      </c>
      <c r="F23" s="16">
        <f>IF(Coleta!$J23="","",Coleta!K23)</f>
        <v>3</v>
      </c>
      <c r="G23" s="16">
        <f>IF(Coleta!$J23="","",Coleta!L23)</f>
        <v>0.5</v>
      </c>
      <c r="H23" s="16">
        <f>IF(Coleta!$J23="","",Coleta!M23)</f>
        <v>0</v>
      </c>
      <c r="I23" s="16">
        <f>IF(Coleta!$J23="","",Coleta!P23)</f>
        <v>0</v>
      </c>
      <c r="J23" s="16">
        <f>IF(Coleta!$J23="","",Coleta!Q23)</f>
        <v>0</v>
      </c>
      <c r="K23" s="16" t="str">
        <f>IF(Coleta!$J23="","",Coleta!C23)</f>
        <v>Probe-BR</v>
      </c>
    </row>
    <row r="24" spans="1:11" x14ac:dyDescent="0.3">
      <c r="A24" s="16" t="str">
        <f>IF(Coleta!$J24="","",Coleta!F24)</f>
        <v>2026-10-18T03:23:00Z</v>
      </c>
      <c r="B24" s="16" t="str">
        <f>IF(Coleta!$J24="","",Coleta!B24)</f>
        <v>Probe-BR|192.168.11.10</v>
      </c>
      <c r="C24" s="16" t="str">
        <f>IF(Coleta!$J24="","",Coleta!D24)</f>
        <v>A</v>
      </c>
      <c r="D24" s="16" t="str">
        <f>IF(Coleta!$J24="","",Coleta!E24)</f>
        <v>Normal</v>
      </c>
      <c r="E24" s="16">
        <f>IF(Coleta!$J24="","",Coleta!J24)</f>
        <v>3</v>
      </c>
      <c r="F24" s="16">
        <f>IF(Coleta!$J24="","",Coleta!K24)</f>
        <v>3</v>
      </c>
      <c r="G24" s="16">
        <f>IF(Coleta!$J24="","",Coleta!L24)</f>
        <v>0.5</v>
      </c>
      <c r="H24" s="16">
        <f>IF(Coleta!$J24="","",Coleta!M24)</f>
        <v>0</v>
      </c>
      <c r="I24" s="16">
        <f>IF(Coleta!$J24="","",Coleta!P24)</f>
        <v>0</v>
      </c>
      <c r="J24" s="16">
        <f>IF(Coleta!$J24="","",Coleta!Q24)</f>
        <v>0</v>
      </c>
      <c r="K24" s="16" t="str">
        <f>IF(Coleta!$J24="","",Coleta!C24)</f>
        <v>Probe-BR</v>
      </c>
    </row>
    <row r="25" spans="1:11" x14ac:dyDescent="0.3">
      <c r="A25" s="16" t="str">
        <f>IF(Coleta!$J25="","",Coleta!F25)</f>
        <v>2026-10-18T03:25:00Z</v>
      </c>
      <c r="B25" s="16" t="str">
        <f>IF(Coleta!$J25="","",Coleta!B25)</f>
        <v>Probe-BR|192.168.11.10</v>
      </c>
      <c r="C25" s="16" t="str">
        <f>IF(Coleta!$J25="","",Coleta!D25)</f>
        <v>A</v>
      </c>
      <c r="D25" s="16" t="str">
        <f>IF(Coleta!$J25="","",Coleta!E25)</f>
        <v>Normal</v>
      </c>
      <c r="E25" s="16">
        <f>IF(Coleta!$J25="","",Coleta!J25)</f>
        <v>3</v>
      </c>
      <c r="F25" s="16">
        <f>IF(Coleta!$J25="","",Coleta!K25)</f>
        <v>3</v>
      </c>
      <c r="G25" s="16">
        <f>IF(Coleta!$J25="","",Coleta!L25)</f>
        <v>0.5</v>
      </c>
      <c r="H25" s="16">
        <f>IF(Coleta!$J25="","",Coleta!M25)</f>
        <v>0</v>
      </c>
      <c r="I25" s="16">
        <f>IF(Coleta!$J25="","",Coleta!P25)</f>
        <v>0</v>
      </c>
      <c r="J25" s="16">
        <f>IF(Coleta!$J25="","",Coleta!Q25)</f>
        <v>0</v>
      </c>
      <c r="K25" s="16" t="str">
        <f>IF(Coleta!$J25="","",Coleta!C25)</f>
        <v>Probe-BR</v>
      </c>
    </row>
    <row r="26" spans="1:11" x14ac:dyDescent="0.3">
      <c r="A26" s="16" t="str">
        <f>IF(Coleta!$J26="","",Coleta!F26)</f>
        <v>2026-10-18T03:27:00Z</v>
      </c>
      <c r="B26" s="16" t="str">
        <f>IF(Coleta!$J26="","",Coleta!B26)</f>
        <v>Probe-BR|192.168.11.10</v>
      </c>
      <c r="C26" s="16" t="str">
        <f>IF(Coleta!$J26="","",Coleta!D26)</f>
        <v>A</v>
      </c>
      <c r="D26" s="16" t="str">
        <f>IF(Coleta!$J26="","",Coleta!E26)</f>
        <v>Normal</v>
      </c>
      <c r="E26" s="16">
        <f>IF(Coleta!$J26="","",Coleta!J26)</f>
        <v>3</v>
      </c>
      <c r="F26" s="16">
        <f>IF(Coleta!$J26="","",Coleta!K26)</f>
        <v>3</v>
      </c>
      <c r="G26" s="16">
        <f>IF(Coleta!$J26="","",Coleta!L26)</f>
        <v>5.333333333333333</v>
      </c>
      <c r="H26" s="16">
        <f>IF(Coleta!$J26="","",Coleta!M26)</f>
        <v>0</v>
      </c>
      <c r="I26" s="16">
        <f>IF(Coleta!$J26="","",Coleta!P26)</f>
        <v>14.5</v>
      </c>
      <c r="J26" s="16">
        <f>IF(Coleta!$J26="","",Coleta!Q26)</f>
        <v>0</v>
      </c>
      <c r="K26" s="16" t="str">
        <f>IF(Coleta!$J26="","",Coleta!C26)</f>
        <v>Probe-BR</v>
      </c>
    </row>
    <row r="27" spans="1:11" x14ac:dyDescent="0.3">
      <c r="A27" s="16" t="str">
        <f>IF(Coleta!$J27="","",Coleta!F27)</f>
        <v>2026-10-18T03:30:00Z</v>
      </c>
      <c r="B27" s="16" t="str">
        <f>IF(Coleta!$J27="","",Coleta!B27)</f>
        <v>Probe-BR|192.168.11.10</v>
      </c>
      <c r="C27" s="16" t="str">
        <f>IF(Coleta!$J27="","",Coleta!D27)</f>
        <v>A</v>
      </c>
      <c r="D27" s="16" t="str">
        <f>IF(Coleta!$J27="","",Coleta!E27)</f>
        <v>Normal</v>
      </c>
      <c r="E27" s="16">
        <f>IF(Coleta!$J27="","",Coleta!J27)</f>
        <v>3</v>
      </c>
      <c r="F27" s="16">
        <f>IF(Coleta!$J27="","",Coleta!K27)</f>
        <v>3</v>
      </c>
      <c r="G27" s="16">
        <f>IF(Coleta!$J27="","",Coleta!L27)</f>
        <v>0.5</v>
      </c>
      <c r="H27" s="16">
        <f>IF(Coleta!$J27="","",Coleta!M27)</f>
        <v>0</v>
      </c>
      <c r="I27" s="16">
        <f>IF(Coleta!$J27="","",Coleta!P27)</f>
        <v>0</v>
      </c>
      <c r="J27" s="16">
        <f>IF(Coleta!$J27="","",Coleta!Q27)</f>
        <v>0</v>
      </c>
      <c r="K27" s="16" t="str">
        <f>IF(Coleta!$J27="","",Coleta!C27)</f>
        <v>Probe-BR</v>
      </c>
    </row>
    <row r="28" spans="1:11" x14ac:dyDescent="0.3">
      <c r="A28" s="16" t="str">
        <f>IF(Coleta!$J28="","",Coleta!F28)</f>
        <v>2026-10-18T03:31:00Z</v>
      </c>
      <c r="B28" s="16" t="str">
        <f>IF(Coleta!$J28="","",Coleta!B28)</f>
        <v>Probe-BR|192.168.11.10</v>
      </c>
      <c r="C28" s="16" t="str">
        <f>IF(Coleta!$J28="","",Coleta!D28)</f>
        <v>A</v>
      </c>
      <c r="D28" s="16" t="str">
        <f>IF(Coleta!$J28="","",Coleta!E28)</f>
        <v>Normal</v>
      </c>
      <c r="E28" s="16">
        <f>IF(Coleta!$J28="","",Coleta!J28)</f>
        <v>3</v>
      </c>
      <c r="F28" s="16">
        <f>IF(Coleta!$J28="","",Coleta!K28)</f>
        <v>3</v>
      </c>
      <c r="G28" s="16">
        <f>IF(Coleta!$J28="","",Coleta!L28)</f>
        <v>7</v>
      </c>
      <c r="H28" s="16">
        <f>IF(Coleta!$J28="","",Coleta!M28)</f>
        <v>0</v>
      </c>
      <c r="I28" s="16">
        <f>IF(Coleta!$J28="","",Coleta!P28)</f>
        <v>19.5</v>
      </c>
      <c r="J28" s="16">
        <f>IF(Coleta!$J28="","",Coleta!Q28)</f>
        <v>0</v>
      </c>
      <c r="K28" s="16" t="str">
        <f>IF(Coleta!$J28="","",Coleta!C28)</f>
        <v>Probe-BR</v>
      </c>
    </row>
    <row r="29" spans="1:11" x14ac:dyDescent="0.3">
      <c r="A29" s="16" t="str">
        <f>IF(Coleta!$J29="","",Coleta!F29)</f>
        <v>2026-10-18T03:32:00Z</v>
      </c>
      <c r="B29" s="16" t="str">
        <f>IF(Coleta!$J29="","",Coleta!B29)</f>
        <v>Probe-BR|192.168.11.10</v>
      </c>
      <c r="C29" s="16" t="str">
        <f>IF(Coleta!$J29="","",Coleta!D29)</f>
        <v>A</v>
      </c>
      <c r="D29" s="16" t="str">
        <f>IF(Coleta!$J29="","",Coleta!E29)</f>
        <v>Normal</v>
      </c>
      <c r="E29" s="16">
        <f>IF(Coleta!$J29="","",Coleta!J29)</f>
        <v>3</v>
      </c>
      <c r="F29" s="16">
        <f>IF(Coleta!$J29="","",Coleta!K29)</f>
        <v>3</v>
      </c>
      <c r="G29" s="16">
        <f>IF(Coleta!$J29="","",Coleta!L29)</f>
        <v>7.333333333333333</v>
      </c>
      <c r="H29" s="16">
        <f>IF(Coleta!$J29="","",Coleta!M29)</f>
        <v>0</v>
      </c>
      <c r="I29" s="16">
        <f>IF(Coleta!$J29="","",Coleta!P29)</f>
        <v>10.25</v>
      </c>
      <c r="J29" s="16">
        <f>IF(Coleta!$J29="","",Coleta!Q29)</f>
        <v>0</v>
      </c>
      <c r="K29" s="16" t="str">
        <f>IF(Coleta!$J29="","",Coleta!C29)</f>
        <v>Probe-BR</v>
      </c>
    </row>
    <row r="30" spans="1:11" x14ac:dyDescent="0.3">
      <c r="A30" s="16" t="str">
        <f>IF(Coleta!$J30="","",Coleta!F30)</f>
        <v>2026-10-18T03:34:00Z</v>
      </c>
      <c r="B30" s="16" t="str">
        <f>IF(Coleta!$J30="","",Coleta!B30)</f>
        <v>Probe-BR|192.168.11.10</v>
      </c>
      <c r="C30" s="16" t="str">
        <f>IF(Coleta!$J30="","",Coleta!D30)</f>
        <v>A</v>
      </c>
      <c r="D30" s="16" t="str">
        <f>IF(Coleta!$J30="","",Coleta!E30)</f>
        <v>Normal</v>
      </c>
      <c r="E30" s="16">
        <f>IF(Coleta!$J30="","",Coleta!J30)</f>
        <v>3</v>
      </c>
      <c r="F30" s="16">
        <f>IF(Coleta!$J30="","",Coleta!K30)</f>
        <v>3</v>
      </c>
      <c r="G30" s="16">
        <f>IF(Coleta!$J30="","",Coleta!L30)</f>
        <v>5.666666666666667</v>
      </c>
      <c r="H30" s="16">
        <f>IF(Coleta!$J30="","",Coleta!M30)</f>
        <v>0</v>
      </c>
      <c r="I30" s="16">
        <f>IF(Coleta!$J30="","",Coleta!P30)</f>
        <v>7.75</v>
      </c>
      <c r="J30" s="16">
        <f>IF(Coleta!$J30="","",Coleta!Q30)</f>
        <v>0</v>
      </c>
      <c r="K30" s="16" t="str">
        <f>IF(Coleta!$J30="","",Coleta!C30)</f>
        <v>Probe-BR</v>
      </c>
    </row>
    <row r="31" spans="1:11" x14ac:dyDescent="0.3">
      <c r="A31" s="16" t="str">
        <f>IF(Coleta!$J31="","",Coleta!F31)</f>
        <v>2026-10-18T03:36:00Z</v>
      </c>
      <c r="B31" s="16" t="str">
        <f>IF(Coleta!$J31="","",Coleta!B31)</f>
        <v>Probe-BR|192.168.11.10</v>
      </c>
      <c r="C31" s="16" t="str">
        <f>IF(Coleta!$J31="","",Coleta!D31)</f>
        <v>A</v>
      </c>
      <c r="D31" s="16" t="str">
        <f>IF(Coleta!$J31="","",Coleta!E31)</f>
        <v>Normal</v>
      </c>
      <c r="E31" s="16">
        <f>IF(Coleta!$J31="","",Coleta!J31)</f>
        <v>3</v>
      </c>
      <c r="F31" s="16">
        <f>IF(Coleta!$J31="","",Coleta!K31)</f>
        <v>3</v>
      </c>
      <c r="G31" s="16">
        <f>IF(Coleta!$J31="","",Coleta!L31)</f>
        <v>1.3333333333333333</v>
      </c>
      <c r="H31" s="16">
        <f>IF(Coleta!$J31="","",Coleta!M31)</f>
        <v>0</v>
      </c>
      <c r="I31" s="16">
        <f>IF(Coleta!$J31="","",Coleta!P31)</f>
        <v>1.25</v>
      </c>
      <c r="J31" s="16">
        <f>IF(Coleta!$J31="","",Coleta!Q31)</f>
        <v>0</v>
      </c>
      <c r="K31" s="16" t="str">
        <f>IF(Coleta!$J31="","",Coleta!C31)</f>
        <v>Probe-BR</v>
      </c>
    </row>
    <row r="32" spans="1:11" x14ac:dyDescent="0.3">
      <c r="A32" s="16" t="str">
        <f>IF(Coleta!$J32="","",Coleta!F32)</f>
        <v>2026-10-18T03:38:00Z</v>
      </c>
      <c r="B32" s="16" t="str">
        <f>IF(Coleta!$J32="","",Coleta!B32)</f>
        <v>Probe-BR|192.168.11.10</v>
      </c>
      <c r="C32" s="16" t="str">
        <f>IF(Coleta!$J32="","",Coleta!D32)</f>
        <v>A</v>
      </c>
      <c r="D32" s="16" t="str">
        <f>IF(Coleta!$J32="","",Coleta!E32)</f>
        <v>Normal</v>
      </c>
      <c r="E32" s="16">
        <f>IF(Coleta!$J32="","",Coleta!J32)</f>
        <v>3</v>
      </c>
      <c r="F32" s="16">
        <f>IF(Coleta!$J32="","",Coleta!K32)</f>
        <v>3</v>
      </c>
      <c r="G32" s="16">
        <f>IF(Coleta!$J32="","",Coleta!L32)</f>
        <v>0.5</v>
      </c>
      <c r="H32" s="16">
        <f>IF(Coleta!$J32="","",Coleta!M32)</f>
        <v>0</v>
      </c>
      <c r="I32" s="16">
        <f>IF(Coleta!$J32="","",Coleta!P32)</f>
        <v>0</v>
      </c>
      <c r="J32" s="16">
        <f>IF(Coleta!$J32="","",Coleta!Q32)</f>
        <v>0</v>
      </c>
      <c r="K32" s="16" t="str">
        <f>IF(Coleta!$J32="","",Coleta!C32)</f>
        <v>Probe-BR</v>
      </c>
    </row>
    <row r="33" spans="1:11" x14ac:dyDescent="0.3">
      <c r="A33" s="16" t="str">
        <f>IF(Coleta!$J33="","",Coleta!F33)</f>
        <v>2026-10-18T03:39:00Z</v>
      </c>
      <c r="B33" s="16" t="str">
        <f>IF(Coleta!$J33="","",Coleta!B33)</f>
        <v>Probe-BR|192.168.11.10</v>
      </c>
      <c r="C33" s="16" t="str">
        <f>IF(Coleta!$J33="","",Coleta!D33)</f>
        <v>A</v>
      </c>
      <c r="D33" s="16" t="str">
        <f>IF(Coleta!$J33="","",Coleta!E33)</f>
        <v>Normal</v>
      </c>
      <c r="E33" s="16">
        <f>IF(Coleta!$J33="","",Coleta!J33)</f>
        <v>3</v>
      </c>
      <c r="F33" s="16">
        <f>IF(Coleta!$J33="","",Coleta!K33)</f>
        <v>3</v>
      </c>
      <c r="G33" s="16">
        <f>IF(Coleta!$J33="","",Coleta!L33)</f>
        <v>0.5</v>
      </c>
      <c r="H33" s="16">
        <f>IF(Coleta!$J33="","",Coleta!M33)</f>
        <v>0</v>
      </c>
      <c r="I33" s="16">
        <f>IF(Coleta!$J33="","",Coleta!P33)</f>
        <v>0</v>
      </c>
      <c r="J33" s="16">
        <f>IF(Coleta!$J33="","",Coleta!Q33)</f>
        <v>0</v>
      </c>
      <c r="K33" s="16" t="str">
        <f>IF(Coleta!$J33="","",Coleta!C33)</f>
        <v>Probe-BR</v>
      </c>
    </row>
    <row r="34" spans="1:11" x14ac:dyDescent="0.3">
      <c r="A34" s="16" t="str">
        <f>IF(Coleta!$J34="","",Coleta!F34)</f>
        <v>2026-10-18T03:41:00Z</v>
      </c>
      <c r="B34" s="16" t="str">
        <f>IF(Coleta!$J34="","",Coleta!B34)</f>
        <v>Probe-BR|192.168.11.10</v>
      </c>
      <c r="C34" s="16" t="str">
        <f>IF(Coleta!$J34="","",Coleta!D34)</f>
        <v>A</v>
      </c>
      <c r="D34" s="16" t="str">
        <f>IF(Coleta!$J34="","",Coleta!E34)</f>
        <v>Normal</v>
      </c>
      <c r="E34" s="16">
        <f>IF(Coleta!$J34="","",Coleta!J34)</f>
        <v>3</v>
      </c>
      <c r="F34" s="16">
        <f>IF(Coleta!$J34="","",Coleta!K34)</f>
        <v>3</v>
      </c>
      <c r="G34" s="16">
        <f>IF(Coleta!$J34="","",Coleta!L34)</f>
        <v>0.5</v>
      </c>
      <c r="H34" s="16">
        <f>IF(Coleta!$J34="","",Coleta!M34)</f>
        <v>0</v>
      </c>
      <c r="I34" s="16">
        <f>IF(Coleta!$J34="","",Coleta!P34)</f>
        <v>0</v>
      </c>
      <c r="J34" s="16">
        <f>IF(Coleta!$J34="","",Coleta!Q34)</f>
        <v>0</v>
      </c>
      <c r="K34" s="16" t="str">
        <f>IF(Coleta!$J34="","",Coleta!C34)</f>
        <v>Probe-BR</v>
      </c>
    </row>
    <row r="35" spans="1:11" x14ac:dyDescent="0.3">
      <c r="A35" s="16" t="str">
        <f>IF(Coleta!$J35="","",Coleta!F35)</f>
        <v>2026-10-18T03:42:00Z</v>
      </c>
      <c r="B35" s="16" t="str">
        <f>IF(Coleta!$J35="","",Coleta!B35)</f>
        <v>Probe-BR|192.168.11.10</v>
      </c>
      <c r="C35" s="16" t="str">
        <f>IF(Coleta!$J35="","",Coleta!D35)</f>
        <v>A</v>
      </c>
      <c r="D35" s="16" t="str">
        <f>IF(Coleta!$J35="","",Coleta!E35)</f>
        <v>Normal</v>
      </c>
      <c r="E35" s="16">
        <f>IF(Coleta!$J35="","",Coleta!J35)</f>
        <v>3</v>
      </c>
      <c r="F35" s="16">
        <f>IF(Coleta!$J35="","",Coleta!K35)</f>
        <v>3</v>
      </c>
      <c r="G35" s="16">
        <f>IF(Coleta!$J35="","",Coleta!L35)</f>
        <v>0.5</v>
      </c>
      <c r="H35" s="16">
        <f>IF(Coleta!$J35="","",Coleta!M35)</f>
        <v>0</v>
      </c>
      <c r="I35" s="16">
        <f>IF(Coleta!$J35="","",Coleta!P35)</f>
        <v>0</v>
      </c>
      <c r="J35" s="16">
        <f>IF(Coleta!$J35="","",Coleta!Q35)</f>
        <v>0</v>
      </c>
      <c r="K35" s="16" t="str">
        <f>IF(Coleta!$J35="","",Coleta!C35)</f>
        <v>Probe-BR</v>
      </c>
    </row>
    <row r="36" spans="1:11" x14ac:dyDescent="0.3">
      <c r="A36" s="16" t="str">
        <f>IF(Coleta!$J36="","",Coleta!F36)</f>
        <v>2026-10-18T03:43:00Z</v>
      </c>
      <c r="B36" s="16" t="str">
        <f>IF(Coleta!$J36="","",Coleta!B36)</f>
        <v>Probe-BR|192.168.11.10</v>
      </c>
      <c r="C36" s="16" t="str">
        <f>IF(Coleta!$J36="","",Coleta!D36)</f>
        <v>A</v>
      </c>
      <c r="D36" s="16" t="str">
        <f>IF(Coleta!$J36="","",Coleta!E36)</f>
        <v>Normal</v>
      </c>
      <c r="E36" s="16">
        <f>IF(Coleta!$J36="","",Coleta!J36)</f>
        <v>3</v>
      </c>
      <c r="F36" s="16">
        <f>IF(Coleta!$J36="","",Coleta!K36)</f>
        <v>3</v>
      </c>
      <c r="G36" s="16">
        <f>IF(Coleta!$J36="","",Coleta!L36)</f>
        <v>0.5</v>
      </c>
      <c r="H36" s="16">
        <f>IF(Coleta!$J36="","",Coleta!M36)</f>
        <v>0</v>
      </c>
      <c r="I36" s="16">
        <f>IF(Coleta!$J36="","",Coleta!P36)</f>
        <v>0</v>
      </c>
      <c r="J36" s="16">
        <f>IF(Coleta!$J36="","",Coleta!Q36)</f>
        <v>0</v>
      </c>
      <c r="K36" s="16" t="str">
        <f>IF(Coleta!$J36="","",Coleta!C36)</f>
        <v>Probe-BR</v>
      </c>
    </row>
    <row r="37" spans="1:11" x14ac:dyDescent="0.3">
      <c r="A37" s="16" t="str">
        <f>IF(Coleta!$J37="","",Coleta!F37)</f>
        <v>2026-10-18T03:44:00Z</v>
      </c>
      <c r="B37" s="16" t="str">
        <f>IF(Coleta!$J37="","",Coleta!B37)</f>
        <v>Probe-BR|192.168.11.10</v>
      </c>
      <c r="C37" s="16" t="str">
        <f>IF(Coleta!$J37="","",Coleta!D37)</f>
        <v>A</v>
      </c>
      <c r="D37" s="16" t="str">
        <f>IF(Coleta!$J37="","",Coleta!E37)</f>
        <v>Normal</v>
      </c>
      <c r="E37" s="16">
        <f>IF(Coleta!$J37="","",Coleta!J37)</f>
        <v>3</v>
      </c>
      <c r="F37" s="16">
        <f>IF(Coleta!$J37="","",Coleta!K37)</f>
        <v>3</v>
      </c>
      <c r="G37" s="16">
        <f>IF(Coleta!$J37="","",Coleta!L37)</f>
        <v>0.5</v>
      </c>
      <c r="H37" s="16">
        <f>IF(Coleta!$J37="","",Coleta!M37)</f>
        <v>0</v>
      </c>
      <c r="I37" s="16">
        <f>IF(Coleta!$J37="","",Coleta!P37)</f>
        <v>0</v>
      </c>
      <c r="J37" s="16">
        <f>IF(Coleta!$J37="","",Coleta!Q37)</f>
        <v>0</v>
      </c>
      <c r="K37" s="16" t="str">
        <f>IF(Coleta!$J37="","",Coleta!C37)</f>
        <v>Probe-BR</v>
      </c>
    </row>
    <row r="38" spans="1:11" x14ac:dyDescent="0.3">
      <c r="A38" s="16" t="str">
        <f>IF(Coleta!$J38="","",Coleta!F38)</f>
        <v>2026-10-18T03:45:00Z</v>
      </c>
      <c r="B38" s="16" t="str">
        <f>IF(Coleta!$J38="","",Coleta!B38)</f>
        <v>Probe-BR|192.168.11.10</v>
      </c>
      <c r="C38" s="16" t="str">
        <f>IF(Coleta!$J38="","",Coleta!D38)</f>
        <v>A</v>
      </c>
      <c r="D38" s="16" t="str">
        <f>IF(Coleta!$J38="","",Coleta!E38)</f>
        <v>Normal</v>
      </c>
      <c r="E38" s="16">
        <f>IF(Coleta!$J38="","",Coleta!J38)</f>
        <v>3</v>
      </c>
      <c r="F38" s="16">
        <f>IF(Coleta!$J38="","",Coleta!K38)</f>
        <v>3</v>
      </c>
      <c r="G38" s="16">
        <f>IF(Coleta!$J38="","",Coleta!L38)</f>
        <v>0.5</v>
      </c>
      <c r="H38" s="16">
        <f>IF(Coleta!$J38="","",Coleta!M38)</f>
        <v>0</v>
      </c>
      <c r="I38" s="16">
        <f>IF(Coleta!$J38="","",Coleta!P38)</f>
        <v>0</v>
      </c>
      <c r="J38" s="16">
        <f>IF(Coleta!$J38="","",Coleta!Q38)</f>
        <v>0</v>
      </c>
      <c r="K38" s="16" t="str">
        <f>IF(Coleta!$J38="","",Coleta!C38)</f>
        <v>Probe-BR</v>
      </c>
    </row>
    <row r="39" spans="1:11" x14ac:dyDescent="0.3">
      <c r="A39" s="16" t="str">
        <f>IF(Coleta!$J39="","",Coleta!F39)</f>
        <v>2026-10-18T03:46:00Z</v>
      </c>
      <c r="B39" s="16" t="str">
        <f>IF(Coleta!$J39="","",Coleta!B39)</f>
        <v>Probe-BR|192.168.11.10</v>
      </c>
      <c r="C39" s="16" t="str">
        <f>IF(Coleta!$J39="","",Coleta!D39)</f>
        <v>A</v>
      </c>
      <c r="D39" s="16" t="str">
        <f>IF(Coleta!$J39="","",Coleta!E39)</f>
        <v>Normal</v>
      </c>
      <c r="E39" s="16">
        <f>IF(Coleta!$J39="","",Coleta!J39)</f>
        <v>3</v>
      </c>
      <c r="F39" s="16">
        <f>IF(Coleta!$J39="","",Coleta!K39)</f>
        <v>3</v>
      </c>
      <c r="G39" s="16">
        <f>IF(Coleta!$J39="","",Coleta!L39)</f>
        <v>0.5</v>
      </c>
      <c r="H39" s="16">
        <f>IF(Coleta!$J39="","",Coleta!M39)</f>
        <v>0</v>
      </c>
      <c r="I39" s="16">
        <f>IF(Coleta!$J39="","",Coleta!P39)</f>
        <v>0</v>
      </c>
      <c r="J39" s="16">
        <f>IF(Coleta!$J39="","",Coleta!Q39)</f>
        <v>0</v>
      </c>
      <c r="K39" s="16" t="str">
        <f>IF(Coleta!$J39="","",Coleta!C39)</f>
        <v>Probe-BR</v>
      </c>
    </row>
    <row r="40" spans="1:11" x14ac:dyDescent="0.3">
      <c r="A40" s="16" t="str">
        <f>IF(Coleta!$J40="","",Coleta!F40)</f>
        <v>2026-10-18T03:47:00Z</v>
      </c>
      <c r="B40" s="16" t="str">
        <f>IF(Coleta!$J40="","",Coleta!B40)</f>
        <v>Probe-BR|192.168.11.10</v>
      </c>
      <c r="C40" s="16" t="str">
        <f>IF(Coleta!$J40="","",Coleta!D40)</f>
        <v>A</v>
      </c>
      <c r="D40" s="16" t="str">
        <f>IF(Coleta!$J40="","",Coleta!E40)</f>
        <v>Normal</v>
      </c>
      <c r="E40" s="16">
        <f>IF(Coleta!$J40="","",Coleta!J40)</f>
        <v>3</v>
      </c>
      <c r="F40" s="16">
        <f>IF(Coleta!$J40="","",Coleta!K40)</f>
        <v>3</v>
      </c>
      <c r="G40" s="16">
        <f>IF(Coleta!$J40="","",Coleta!L40)</f>
        <v>0.5</v>
      </c>
      <c r="H40" s="16">
        <f>IF(Coleta!$J40="","",Coleta!M40)</f>
        <v>0</v>
      </c>
      <c r="I40" s="16">
        <f>IF(Coleta!$J40="","",Coleta!P40)</f>
        <v>0</v>
      </c>
      <c r="J40" s="16">
        <f>IF(Coleta!$J40="","",Coleta!Q40)</f>
        <v>0</v>
      </c>
      <c r="K40" s="16" t="str">
        <f>IF(Coleta!$J40="","",Coleta!C40)</f>
        <v>Probe-BR</v>
      </c>
    </row>
    <row r="41" spans="1:11" x14ac:dyDescent="0.3">
      <c r="A41" s="16" t="str">
        <f>IF(Coleta!$J41="","",Coleta!F41)</f>
        <v>2026-10-18T03:48:00Z</v>
      </c>
      <c r="B41" s="16" t="str">
        <f>IF(Coleta!$J41="","",Coleta!B41)</f>
        <v>Probe-BR|192.168.11.10</v>
      </c>
      <c r="C41" s="16" t="str">
        <f>IF(Coleta!$J41="","",Coleta!D41)</f>
        <v>A</v>
      </c>
      <c r="D41" s="16" t="str">
        <f>IF(Coleta!$J41="","",Coleta!E41)</f>
        <v>Normal</v>
      </c>
      <c r="E41" s="16">
        <f>IF(Coleta!$J41="","",Coleta!J41)</f>
        <v>3</v>
      </c>
      <c r="F41" s="16">
        <f>IF(Coleta!$J41="","",Coleta!K41)</f>
        <v>3</v>
      </c>
      <c r="G41" s="16">
        <f>IF(Coleta!$J41="","",Coleta!L41)</f>
        <v>0.5</v>
      </c>
      <c r="H41" s="16">
        <f>IF(Coleta!$J41="","",Coleta!M41)</f>
        <v>0</v>
      </c>
      <c r="I41" s="16">
        <f>IF(Coleta!$J41="","",Coleta!P41)</f>
        <v>0</v>
      </c>
      <c r="J41" s="16">
        <f>IF(Coleta!$J41="","",Coleta!Q41)</f>
        <v>0</v>
      </c>
      <c r="K41" s="16" t="str">
        <f>IF(Coleta!$J41="","",Coleta!C41)</f>
        <v>Probe-BR</v>
      </c>
    </row>
    <row r="42" spans="1:11" x14ac:dyDescent="0.3">
      <c r="A42" s="16" t="str">
        <f>IF(Coleta!$J42="","",Coleta!F42)</f>
        <v>2026-10-18T03:52:00Z</v>
      </c>
      <c r="B42" s="16" t="str">
        <f>IF(Coleta!$J42="","",Coleta!B42)</f>
        <v>Probe-BR|192.168.12.10</v>
      </c>
      <c r="C42" s="16" t="str">
        <f>IF(Coleta!$J42="","",Coleta!D42)</f>
        <v>A</v>
      </c>
      <c r="D42" s="16" t="str">
        <f>IF(Coleta!$J42="","",Coleta!E42)</f>
        <v>Normal</v>
      </c>
      <c r="E42" s="16">
        <f>IF(Coleta!$J42="","",Coleta!J42)</f>
        <v>3</v>
      </c>
      <c r="F42" s="16">
        <f>IF(Coleta!$J42="","",Coleta!K42)</f>
        <v>2</v>
      </c>
      <c r="G42" s="16">
        <f>IF(Coleta!$J42="","",Coleta!L42)</f>
        <v>0.5</v>
      </c>
      <c r="H42" s="16">
        <f>IF(Coleta!$J42="","",Coleta!M42)</f>
        <v>33.333333333333329</v>
      </c>
      <c r="I42" s="16">
        <f>IF(Coleta!$J42="","",Coleta!P42)</f>
        <v>0</v>
      </c>
      <c r="J42" s="16">
        <f>IF(Coleta!$J42="","",Coleta!Q42)</f>
        <v>0</v>
      </c>
      <c r="K42" s="16" t="str">
        <f>IF(Coleta!$J42="","",Coleta!C42)</f>
        <v>Probe-BR</v>
      </c>
    </row>
    <row r="43" spans="1:11" x14ac:dyDescent="0.3">
      <c r="A43" s="16" t="str">
        <f>IF(Coleta!$J43="","",Coleta!F43)</f>
        <v>2026-10-18T03:54:00Z</v>
      </c>
      <c r="B43" s="16" t="str">
        <f>IF(Coleta!$J43="","",Coleta!B43)</f>
        <v>Probe-BR|192.168.12.10</v>
      </c>
      <c r="C43" s="16" t="str">
        <f>IF(Coleta!$J43="","",Coleta!D43)</f>
        <v>A</v>
      </c>
      <c r="D43" s="16" t="str">
        <f>IF(Coleta!$J43="","",Coleta!E43)</f>
        <v>Normal</v>
      </c>
      <c r="E43" s="16">
        <f>IF(Coleta!$J43="","",Coleta!J43)</f>
        <v>3</v>
      </c>
      <c r="F43" s="16">
        <f>IF(Coleta!$J43="","",Coleta!K43)</f>
        <v>3</v>
      </c>
      <c r="G43" s="16">
        <f>IF(Coleta!$J43="","",Coleta!L43)</f>
        <v>0.5</v>
      </c>
      <c r="H43" s="16">
        <f>IF(Coleta!$J43="","",Coleta!M43)</f>
        <v>0</v>
      </c>
      <c r="I43" s="16">
        <f>IF(Coleta!$J43="","",Coleta!P43)</f>
        <v>0</v>
      </c>
      <c r="J43" s="16">
        <f>IF(Coleta!$J43="","",Coleta!Q43)</f>
        <v>0</v>
      </c>
      <c r="K43" s="16" t="str">
        <f>IF(Coleta!$J43="","",Coleta!C43)</f>
        <v>Probe-BR</v>
      </c>
    </row>
    <row r="44" spans="1:11" x14ac:dyDescent="0.3">
      <c r="A44" s="16" t="str">
        <f>IF(Coleta!$J44="","",Coleta!F44)</f>
        <v>2026-10-18T03:55:00Z</v>
      </c>
      <c r="B44" s="16" t="str">
        <f>IF(Coleta!$J44="","",Coleta!B44)</f>
        <v>Probe-BR|192.168.12.10</v>
      </c>
      <c r="C44" s="16" t="str">
        <f>IF(Coleta!$J44="","",Coleta!D44)</f>
        <v>A</v>
      </c>
      <c r="D44" s="16" t="str">
        <f>IF(Coleta!$J44="","",Coleta!E44)</f>
        <v>Normal</v>
      </c>
      <c r="E44" s="16">
        <f>IF(Coleta!$J44="","",Coleta!J44)</f>
        <v>3</v>
      </c>
      <c r="F44" s="16">
        <f>IF(Coleta!$J44="","",Coleta!K44)</f>
        <v>3</v>
      </c>
      <c r="G44" s="16">
        <f>IF(Coleta!$J44="","",Coleta!L44)</f>
        <v>0.66666666666666663</v>
      </c>
      <c r="H44" s="16">
        <f>IF(Coleta!$J44="","",Coleta!M44)</f>
        <v>0</v>
      </c>
      <c r="I44" s="16">
        <f>IF(Coleta!$J44="","",Coleta!P44)</f>
        <v>0.25</v>
      </c>
      <c r="J44" s="16">
        <f>IF(Coleta!$J44="","",Coleta!Q44)</f>
        <v>0</v>
      </c>
      <c r="K44" s="16" t="str">
        <f>IF(Coleta!$J44="","",Coleta!C44)</f>
        <v>Probe-BR</v>
      </c>
    </row>
    <row r="45" spans="1:11" x14ac:dyDescent="0.3">
      <c r="A45" s="16" t="str">
        <f>IF(Coleta!$J45="","",Coleta!F45)</f>
        <v>2026-10-18T03:57:00Z</v>
      </c>
      <c r="B45" s="16" t="str">
        <f>IF(Coleta!$J45="","",Coleta!B45)</f>
        <v>Probe-BR|192.168.12.10</v>
      </c>
      <c r="C45" s="16" t="str">
        <f>IF(Coleta!$J45="","",Coleta!D45)</f>
        <v>A</v>
      </c>
      <c r="D45" s="16" t="str">
        <f>IF(Coleta!$J45="","",Coleta!E45)</f>
        <v>Normal</v>
      </c>
      <c r="E45" s="16">
        <f>IF(Coleta!$J45="","",Coleta!J45)</f>
        <v>3</v>
      </c>
      <c r="F45" s="16">
        <f>IF(Coleta!$J45="","",Coleta!K45)</f>
        <v>3</v>
      </c>
      <c r="G45" s="16">
        <f>IF(Coleta!$J45="","",Coleta!L45)</f>
        <v>0.66666666666666663</v>
      </c>
      <c r="H45" s="16">
        <f>IF(Coleta!$J45="","",Coleta!M45)</f>
        <v>0</v>
      </c>
      <c r="I45" s="16">
        <f>IF(Coleta!$J45="","",Coleta!P45)</f>
        <v>0.25</v>
      </c>
      <c r="J45" s="16">
        <f>IF(Coleta!$J45="","",Coleta!Q45)</f>
        <v>0</v>
      </c>
      <c r="K45" s="16" t="str">
        <f>IF(Coleta!$J45="","",Coleta!C45)</f>
        <v>Probe-BR</v>
      </c>
    </row>
    <row r="46" spans="1:11" x14ac:dyDescent="0.3">
      <c r="A46" s="16" t="str">
        <f>IF(Coleta!$J46="","",Coleta!F46)</f>
        <v>2026-10-18T04:00:00Z</v>
      </c>
      <c r="B46" s="16" t="str">
        <f>IF(Coleta!$J46="","",Coleta!B46)</f>
        <v>Probe-BR|192.168.12.10</v>
      </c>
      <c r="C46" s="16" t="str">
        <f>IF(Coleta!$J46="","",Coleta!D46)</f>
        <v>A</v>
      </c>
      <c r="D46" s="16" t="str">
        <f>IF(Coleta!$J46="","",Coleta!E46)</f>
        <v>Normal</v>
      </c>
      <c r="E46" s="16">
        <f>IF(Coleta!$J46="","",Coleta!J46)</f>
        <v>3</v>
      </c>
      <c r="F46" s="16">
        <f>IF(Coleta!$J46="","",Coleta!K46)</f>
        <v>3</v>
      </c>
      <c r="G46" s="16">
        <f>IF(Coleta!$J46="","",Coleta!L46)</f>
        <v>0.66666666666666663</v>
      </c>
      <c r="H46" s="16">
        <f>IF(Coleta!$J46="","",Coleta!M46)</f>
        <v>0</v>
      </c>
      <c r="I46" s="16">
        <f>IF(Coleta!$J46="","",Coleta!P46)</f>
        <v>0.25</v>
      </c>
      <c r="J46" s="16">
        <f>IF(Coleta!$J46="","",Coleta!Q46)</f>
        <v>0</v>
      </c>
      <c r="K46" s="16" t="str">
        <f>IF(Coleta!$J46="","",Coleta!C46)</f>
        <v>Probe-BR</v>
      </c>
    </row>
    <row r="47" spans="1:11" x14ac:dyDescent="0.3">
      <c r="A47" s="16" t="str">
        <f>IF(Coleta!$J47="","",Coleta!F47)</f>
        <v>2026-10-18T04:01:00Z</v>
      </c>
      <c r="B47" s="16" t="str">
        <f>IF(Coleta!$J47="","",Coleta!B47)</f>
        <v>Probe-BR|192.168.12.10</v>
      </c>
      <c r="C47" s="16" t="str">
        <f>IF(Coleta!$J47="","",Coleta!D47)</f>
        <v>A</v>
      </c>
      <c r="D47" s="16" t="str">
        <f>IF(Coleta!$J47="","",Coleta!E47)</f>
        <v>Normal</v>
      </c>
      <c r="E47" s="16">
        <f>IF(Coleta!$J47="","",Coleta!J47)</f>
        <v>3</v>
      </c>
      <c r="F47" s="16">
        <f>IF(Coleta!$J47="","",Coleta!K47)</f>
        <v>3</v>
      </c>
      <c r="G47" s="16">
        <f>IF(Coleta!$J47="","",Coleta!L47)</f>
        <v>0.5</v>
      </c>
      <c r="H47" s="16">
        <f>IF(Coleta!$J47="","",Coleta!M47)</f>
        <v>0</v>
      </c>
      <c r="I47" s="16">
        <f>IF(Coleta!$J47="","",Coleta!P47)</f>
        <v>0</v>
      </c>
      <c r="J47" s="16">
        <f>IF(Coleta!$J47="","",Coleta!Q47)</f>
        <v>0</v>
      </c>
      <c r="K47" s="16" t="str">
        <f>IF(Coleta!$J47="","",Coleta!C47)</f>
        <v>Probe-BR</v>
      </c>
    </row>
    <row r="48" spans="1:11" x14ac:dyDescent="0.3">
      <c r="A48" s="16" t="str">
        <f>IF(Coleta!$J48="","",Coleta!F48)</f>
        <v>2026-10-18T04:03:00Z</v>
      </c>
      <c r="B48" s="16" t="str">
        <f>IF(Coleta!$J48="","",Coleta!B48)</f>
        <v>Probe-BR|192.168.12.10</v>
      </c>
      <c r="C48" s="16" t="str">
        <f>IF(Coleta!$J48="","",Coleta!D48)</f>
        <v>A</v>
      </c>
      <c r="D48" s="16" t="str">
        <f>IF(Coleta!$J48="","",Coleta!E48)</f>
        <v>Normal</v>
      </c>
      <c r="E48" s="16">
        <f>IF(Coleta!$J48="","",Coleta!J48)</f>
        <v>3</v>
      </c>
      <c r="F48" s="16">
        <f>IF(Coleta!$J48="","",Coleta!K48)</f>
        <v>3</v>
      </c>
      <c r="G48" s="16">
        <f>IF(Coleta!$J48="","",Coleta!L48)</f>
        <v>0.5</v>
      </c>
      <c r="H48" s="16">
        <f>IF(Coleta!$J48="","",Coleta!M48)</f>
        <v>0</v>
      </c>
      <c r="I48" s="16">
        <f>IF(Coleta!$J48="","",Coleta!P48)</f>
        <v>0</v>
      </c>
      <c r="J48" s="16">
        <f>IF(Coleta!$J48="","",Coleta!Q48)</f>
        <v>0</v>
      </c>
      <c r="K48" s="16" t="str">
        <f>IF(Coleta!$J48="","",Coleta!C48)</f>
        <v>Probe-BR</v>
      </c>
    </row>
    <row r="49" spans="1:11" x14ac:dyDescent="0.3">
      <c r="A49" s="16" t="str">
        <f>IF(Coleta!$J49="","",Coleta!F49)</f>
        <v>2026-10-18T04:04:00Z</v>
      </c>
      <c r="B49" s="16" t="str">
        <f>IF(Coleta!$J49="","",Coleta!B49)</f>
        <v>Probe-BR|192.168.12.10</v>
      </c>
      <c r="C49" s="16" t="str">
        <f>IF(Coleta!$J49="","",Coleta!D49)</f>
        <v>A</v>
      </c>
      <c r="D49" s="16" t="str">
        <f>IF(Coleta!$J49="","",Coleta!E49)</f>
        <v>Normal</v>
      </c>
      <c r="E49" s="16">
        <f>IF(Coleta!$J49="","",Coleta!J49)</f>
        <v>3</v>
      </c>
      <c r="F49" s="16">
        <f>IF(Coleta!$J49="","",Coleta!K49)</f>
        <v>3</v>
      </c>
      <c r="G49" s="16">
        <f>IF(Coleta!$J49="","",Coleta!L49)</f>
        <v>0.5</v>
      </c>
      <c r="H49" s="16">
        <f>IF(Coleta!$J49="","",Coleta!M49)</f>
        <v>0</v>
      </c>
      <c r="I49" s="16">
        <f>IF(Coleta!$J49="","",Coleta!P49)</f>
        <v>0</v>
      </c>
      <c r="J49" s="16">
        <f>IF(Coleta!$J49="","",Coleta!Q49)</f>
        <v>0</v>
      </c>
      <c r="K49" s="16" t="str">
        <f>IF(Coleta!$J49="","",Coleta!C49)</f>
        <v>Probe-BR</v>
      </c>
    </row>
    <row r="50" spans="1:11" x14ac:dyDescent="0.3">
      <c r="A50" s="16" t="str">
        <f>IF(Coleta!$J50="","",Coleta!F50)</f>
        <v>2026-10-18T04:06:00Z</v>
      </c>
      <c r="B50" s="16" t="str">
        <f>IF(Coleta!$J50="","",Coleta!B50)</f>
        <v>Probe-BR|192.168.12.10</v>
      </c>
      <c r="C50" s="16" t="str">
        <f>IF(Coleta!$J50="","",Coleta!D50)</f>
        <v>A</v>
      </c>
      <c r="D50" s="16" t="str">
        <f>IF(Coleta!$J50="","",Coleta!E50)</f>
        <v>Normal</v>
      </c>
      <c r="E50" s="16">
        <f>IF(Coleta!$J50="","",Coleta!J50)</f>
        <v>3</v>
      </c>
      <c r="F50" s="16">
        <f>IF(Coleta!$J50="","",Coleta!K50)</f>
        <v>3</v>
      </c>
      <c r="G50" s="16">
        <f>IF(Coleta!$J50="","",Coleta!L50)</f>
        <v>0.66666666666666663</v>
      </c>
      <c r="H50" s="16">
        <f>IF(Coleta!$J50="","",Coleta!M50)</f>
        <v>0</v>
      </c>
      <c r="I50" s="16">
        <f>IF(Coleta!$J50="","",Coleta!P50)</f>
        <v>0.25</v>
      </c>
      <c r="J50" s="16">
        <f>IF(Coleta!$J50="","",Coleta!Q50)</f>
        <v>0</v>
      </c>
      <c r="K50" s="16" t="str">
        <f>IF(Coleta!$J50="","",Coleta!C50)</f>
        <v>Probe-BR</v>
      </c>
    </row>
    <row r="51" spans="1:11" x14ac:dyDescent="0.3">
      <c r="A51" s="16" t="str">
        <f>IF(Coleta!$J51="","",Coleta!F51)</f>
        <v>2026-10-18T04:07:00Z</v>
      </c>
      <c r="B51" s="16" t="str">
        <f>IF(Coleta!$J51="","",Coleta!B51)</f>
        <v>Probe-BR|192.168.12.10</v>
      </c>
      <c r="C51" s="16" t="str">
        <f>IF(Coleta!$J51="","",Coleta!D51)</f>
        <v>A</v>
      </c>
      <c r="D51" s="16" t="str">
        <f>IF(Coleta!$J51="","",Coleta!E51)</f>
        <v>Normal</v>
      </c>
      <c r="E51" s="16">
        <f>IF(Coleta!$J51="","",Coleta!J51)</f>
        <v>3</v>
      </c>
      <c r="F51" s="16">
        <f>IF(Coleta!$J51="","",Coleta!K51)</f>
        <v>3</v>
      </c>
      <c r="G51" s="16">
        <f>IF(Coleta!$J51="","",Coleta!L51)</f>
        <v>0.5</v>
      </c>
      <c r="H51" s="16">
        <f>IF(Coleta!$J51="","",Coleta!M51)</f>
        <v>0</v>
      </c>
      <c r="I51" s="16">
        <f>IF(Coleta!$J51="","",Coleta!P51)</f>
        <v>0</v>
      </c>
      <c r="J51" s="16">
        <f>IF(Coleta!$J51="","",Coleta!Q51)</f>
        <v>0</v>
      </c>
      <c r="K51" s="16" t="str">
        <f>IF(Coleta!$J51="","",Coleta!C51)</f>
        <v>Probe-BR</v>
      </c>
    </row>
    <row r="52" spans="1:11" x14ac:dyDescent="0.3">
      <c r="A52" s="16" t="str">
        <f>IF(Coleta!$J52="","",Coleta!F52)</f>
        <v>2026-10-18T04:09:00Z</v>
      </c>
      <c r="B52" s="16" t="str">
        <f>IF(Coleta!$J52="","",Coleta!B52)</f>
        <v>Probe-BR|192.168.12.10</v>
      </c>
      <c r="C52" s="16" t="str">
        <f>IF(Coleta!$J52="","",Coleta!D52)</f>
        <v>A</v>
      </c>
      <c r="D52" s="16" t="str">
        <f>IF(Coleta!$J52="","",Coleta!E52)</f>
        <v>Normal</v>
      </c>
      <c r="E52" s="16">
        <f>IF(Coleta!$J52="","",Coleta!J52)</f>
        <v>3</v>
      </c>
      <c r="F52" s="16">
        <f>IF(Coleta!$J52="","",Coleta!K52)</f>
        <v>3</v>
      </c>
      <c r="G52" s="16">
        <f>IF(Coleta!$J52="","",Coleta!L52)</f>
        <v>0.66666666666666663</v>
      </c>
      <c r="H52" s="16">
        <f>IF(Coleta!$J52="","",Coleta!M52)</f>
        <v>0</v>
      </c>
      <c r="I52" s="16">
        <f>IF(Coleta!$J52="","",Coleta!P52)</f>
        <v>0.25</v>
      </c>
      <c r="J52" s="16">
        <f>IF(Coleta!$J52="","",Coleta!Q52)</f>
        <v>0</v>
      </c>
      <c r="K52" s="16" t="str">
        <f>IF(Coleta!$J52="","",Coleta!C52)</f>
        <v>Probe-BR</v>
      </c>
    </row>
    <row r="53" spans="1:11" x14ac:dyDescent="0.3">
      <c r="A53" s="16" t="str">
        <f>IF(Coleta!$J53="","",Coleta!F53)</f>
        <v>2026-10-18T04:11:00Z</v>
      </c>
      <c r="B53" s="16" t="str">
        <f>IF(Coleta!$J53="","",Coleta!B53)</f>
        <v>Probe-BR|192.168.12.10</v>
      </c>
      <c r="C53" s="16" t="str">
        <f>IF(Coleta!$J53="","",Coleta!D53)</f>
        <v>A</v>
      </c>
      <c r="D53" s="16" t="str">
        <f>IF(Coleta!$J53="","",Coleta!E53)</f>
        <v>Normal</v>
      </c>
      <c r="E53" s="16">
        <f>IF(Coleta!$J53="","",Coleta!J53)</f>
        <v>3</v>
      </c>
      <c r="F53" s="16">
        <f>IF(Coleta!$J53="","",Coleta!K53)</f>
        <v>3</v>
      </c>
      <c r="G53" s="16">
        <f>IF(Coleta!$J53="","",Coleta!L53)</f>
        <v>0.5</v>
      </c>
      <c r="H53" s="16">
        <f>IF(Coleta!$J53="","",Coleta!M53)</f>
        <v>0</v>
      </c>
      <c r="I53" s="16">
        <f>IF(Coleta!$J53="","",Coleta!P53)</f>
        <v>0</v>
      </c>
      <c r="J53" s="16">
        <f>IF(Coleta!$J53="","",Coleta!Q53)</f>
        <v>0</v>
      </c>
      <c r="K53" s="16" t="str">
        <f>IF(Coleta!$J53="","",Coleta!C53)</f>
        <v>Probe-BR</v>
      </c>
    </row>
    <row r="54" spans="1:11" x14ac:dyDescent="0.3">
      <c r="A54" s="16" t="str">
        <f>IF(Coleta!$J54="","",Coleta!F54)</f>
        <v>2026-10-18T04:13:00Z</v>
      </c>
      <c r="B54" s="16" t="str">
        <f>IF(Coleta!$J54="","",Coleta!B54)</f>
        <v>Probe-BR|192.168.12.10</v>
      </c>
      <c r="C54" s="16" t="str">
        <f>IF(Coleta!$J54="","",Coleta!D54)</f>
        <v>A</v>
      </c>
      <c r="D54" s="16" t="str">
        <f>IF(Coleta!$J54="","",Coleta!E54)</f>
        <v>Normal</v>
      </c>
      <c r="E54" s="16">
        <f>IF(Coleta!$J54="","",Coleta!J54)</f>
        <v>3</v>
      </c>
      <c r="F54" s="16">
        <f>IF(Coleta!$J54="","",Coleta!K54)</f>
        <v>3</v>
      </c>
      <c r="G54" s="16">
        <f>IF(Coleta!$J54="","",Coleta!L54)</f>
        <v>4.666666666666667</v>
      </c>
      <c r="H54" s="16">
        <f>IF(Coleta!$J54="","",Coleta!M54)</f>
        <v>0</v>
      </c>
      <c r="I54" s="16">
        <f>IF(Coleta!$J54="","",Coleta!P54)</f>
        <v>12.5</v>
      </c>
      <c r="J54" s="16">
        <f>IF(Coleta!$J54="","",Coleta!Q54)</f>
        <v>0</v>
      </c>
      <c r="K54" s="16" t="str">
        <f>IF(Coleta!$J54="","",Coleta!C54)</f>
        <v>Probe-BR</v>
      </c>
    </row>
    <row r="55" spans="1:11" x14ac:dyDescent="0.3">
      <c r="A55" s="16" t="str">
        <f>IF(Coleta!$J55="","",Coleta!F55)</f>
        <v>2026-10-18T04:16:00Z</v>
      </c>
      <c r="B55" s="16" t="str">
        <f>IF(Coleta!$J55="","",Coleta!B55)</f>
        <v>Probe-BR|192.168.12.10</v>
      </c>
      <c r="C55" s="16" t="str">
        <f>IF(Coleta!$J55="","",Coleta!D55)</f>
        <v>A</v>
      </c>
      <c r="D55" s="16" t="str">
        <f>IF(Coleta!$J55="","",Coleta!E55)</f>
        <v>Normal</v>
      </c>
      <c r="E55" s="16">
        <f>IF(Coleta!$J55="","",Coleta!J55)</f>
        <v>3</v>
      </c>
      <c r="F55" s="16">
        <f>IF(Coleta!$J55="","",Coleta!K55)</f>
        <v>3</v>
      </c>
      <c r="G55" s="16">
        <f>IF(Coleta!$J55="","",Coleta!L55)</f>
        <v>0.5</v>
      </c>
      <c r="H55" s="16">
        <f>IF(Coleta!$J55="","",Coleta!M55)</f>
        <v>0</v>
      </c>
      <c r="I55" s="16">
        <f>IF(Coleta!$J55="","",Coleta!P55)</f>
        <v>0</v>
      </c>
      <c r="J55" s="16">
        <f>IF(Coleta!$J55="","",Coleta!Q55)</f>
        <v>0</v>
      </c>
      <c r="K55" s="16" t="str">
        <f>IF(Coleta!$J55="","",Coleta!C55)</f>
        <v>Probe-BR</v>
      </c>
    </row>
    <row r="56" spans="1:11" x14ac:dyDescent="0.3">
      <c r="A56" s="16" t="str">
        <f>IF(Coleta!$J56="","",Coleta!F56)</f>
        <v>2026-10-18T04:17:00Z</v>
      </c>
      <c r="B56" s="16" t="str">
        <f>IF(Coleta!$J56="","",Coleta!B56)</f>
        <v>Probe-BR|192.168.12.10</v>
      </c>
      <c r="C56" s="16" t="str">
        <f>IF(Coleta!$J56="","",Coleta!D56)</f>
        <v>A</v>
      </c>
      <c r="D56" s="16" t="str">
        <f>IF(Coleta!$J56="","",Coleta!E56)</f>
        <v>Normal</v>
      </c>
      <c r="E56" s="16">
        <f>IF(Coleta!$J56="","",Coleta!J56)</f>
        <v>3</v>
      </c>
      <c r="F56" s="16">
        <f>IF(Coleta!$J56="","",Coleta!K56)</f>
        <v>3</v>
      </c>
      <c r="G56" s="16">
        <f>IF(Coleta!$J56="","",Coleta!L56)</f>
        <v>0.5</v>
      </c>
      <c r="H56" s="16">
        <f>IF(Coleta!$J56="","",Coleta!M56)</f>
        <v>0</v>
      </c>
      <c r="I56" s="16">
        <f>IF(Coleta!$J56="","",Coleta!P56)</f>
        <v>0</v>
      </c>
      <c r="J56" s="16">
        <f>IF(Coleta!$J56="","",Coleta!Q56)</f>
        <v>0</v>
      </c>
      <c r="K56" s="16" t="str">
        <f>IF(Coleta!$J56="","",Coleta!C56)</f>
        <v>Probe-BR</v>
      </c>
    </row>
    <row r="57" spans="1:11" x14ac:dyDescent="0.3">
      <c r="A57" s="16" t="str">
        <f>IF(Coleta!$J57="","",Coleta!F57)</f>
        <v>2026-10-18T04:19:00Z</v>
      </c>
      <c r="B57" s="16" t="str">
        <f>IF(Coleta!$J57="","",Coleta!B57)</f>
        <v>Probe-BR|192.168.12.10</v>
      </c>
      <c r="C57" s="16" t="str">
        <f>IF(Coleta!$J57="","",Coleta!D57)</f>
        <v>A</v>
      </c>
      <c r="D57" s="16" t="str">
        <f>IF(Coleta!$J57="","",Coleta!E57)</f>
        <v>Normal</v>
      </c>
      <c r="E57" s="16">
        <f>IF(Coleta!$J57="","",Coleta!J57)</f>
        <v>3</v>
      </c>
      <c r="F57" s="16">
        <f>IF(Coleta!$J57="","",Coleta!K57)</f>
        <v>3</v>
      </c>
      <c r="G57" s="16">
        <f>IF(Coleta!$J57="","",Coleta!L57)</f>
        <v>0.5</v>
      </c>
      <c r="H57" s="16">
        <f>IF(Coleta!$J57="","",Coleta!M57)</f>
        <v>0</v>
      </c>
      <c r="I57" s="16">
        <f>IF(Coleta!$J57="","",Coleta!P57)</f>
        <v>0</v>
      </c>
      <c r="J57" s="16">
        <f>IF(Coleta!$J57="","",Coleta!Q57)</f>
        <v>0</v>
      </c>
      <c r="K57" s="16" t="str">
        <f>IF(Coleta!$J57="","",Coleta!C57)</f>
        <v>Probe-BR</v>
      </c>
    </row>
    <row r="58" spans="1:11" x14ac:dyDescent="0.3">
      <c r="A58" s="16" t="str">
        <f>IF(Coleta!$J58="","",Coleta!F58)</f>
        <v>2026-10-18T04:20:00Z</v>
      </c>
      <c r="B58" s="16" t="str">
        <f>IF(Coleta!$J58="","",Coleta!B58)</f>
        <v>Probe-BR|192.168.12.10</v>
      </c>
      <c r="C58" s="16" t="str">
        <f>IF(Coleta!$J58="","",Coleta!D58)</f>
        <v>A</v>
      </c>
      <c r="D58" s="16" t="str">
        <f>IF(Coleta!$J58="","",Coleta!E58)</f>
        <v>Normal</v>
      </c>
      <c r="E58" s="16">
        <f>IF(Coleta!$J58="","",Coleta!J58)</f>
        <v>3</v>
      </c>
      <c r="F58" s="16">
        <f>IF(Coleta!$J58="","",Coleta!K58)</f>
        <v>3</v>
      </c>
      <c r="G58" s="16">
        <f>IF(Coleta!$J58="","",Coleta!L58)</f>
        <v>0.5</v>
      </c>
      <c r="H58" s="16">
        <f>IF(Coleta!$J58="","",Coleta!M58)</f>
        <v>0</v>
      </c>
      <c r="I58" s="16">
        <f>IF(Coleta!$J58="","",Coleta!P58)</f>
        <v>0</v>
      </c>
      <c r="J58" s="16">
        <f>IF(Coleta!$J58="","",Coleta!Q58)</f>
        <v>0</v>
      </c>
      <c r="K58" s="16" t="str">
        <f>IF(Coleta!$J58="","",Coleta!C58)</f>
        <v>Probe-BR</v>
      </c>
    </row>
    <row r="59" spans="1:11" x14ac:dyDescent="0.3">
      <c r="A59" s="16" t="str">
        <f>IF(Coleta!$J59="","",Coleta!F59)</f>
        <v>2026-10-18T04:21:00Z</v>
      </c>
      <c r="B59" s="16" t="str">
        <f>IF(Coleta!$J59="","",Coleta!B59)</f>
        <v>Probe-BR|192.168.12.10</v>
      </c>
      <c r="C59" s="16" t="str">
        <f>IF(Coleta!$J59="","",Coleta!D59)</f>
        <v>A</v>
      </c>
      <c r="D59" s="16" t="str">
        <f>IF(Coleta!$J59="","",Coleta!E59)</f>
        <v>Normal</v>
      </c>
      <c r="E59" s="16">
        <f>IF(Coleta!$J59="","",Coleta!J59)</f>
        <v>3</v>
      </c>
      <c r="F59" s="16">
        <f>IF(Coleta!$J59="","",Coleta!K59)</f>
        <v>3</v>
      </c>
      <c r="G59" s="16">
        <f>IF(Coleta!$J59="","",Coleta!L59)</f>
        <v>0.66666666666666663</v>
      </c>
      <c r="H59" s="16">
        <f>IF(Coleta!$J59="","",Coleta!M59)</f>
        <v>0</v>
      </c>
      <c r="I59" s="16">
        <f>IF(Coleta!$J59="","",Coleta!P59)</f>
        <v>0.5</v>
      </c>
      <c r="J59" s="16">
        <f>IF(Coleta!$J59="","",Coleta!Q59)</f>
        <v>0</v>
      </c>
      <c r="K59" s="16" t="str">
        <f>IF(Coleta!$J59="","",Coleta!C59)</f>
        <v>Probe-BR</v>
      </c>
    </row>
    <row r="60" spans="1:11" x14ac:dyDescent="0.3">
      <c r="A60" s="16" t="str">
        <f>IF(Coleta!$J60="","",Coleta!F60)</f>
        <v>2026-10-18T04:23:00Z</v>
      </c>
      <c r="B60" s="16" t="str">
        <f>IF(Coleta!$J60="","",Coleta!B60)</f>
        <v>Probe-BR|192.168.12.10</v>
      </c>
      <c r="C60" s="16" t="str">
        <f>IF(Coleta!$J60="","",Coleta!D60)</f>
        <v>A</v>
      </c>
      <c r="D60" s="16" t="str">
        <f>IF(Coleta!$J60="","",Coleta!E60)</f>
        <v>Normal</v>
      </c>
      <c r="E60" s="16">
        <f>IF(Coleta!$J60="","",Coleta!J60)</f>
        <v>3</v>
      </c>
      <c r="F60" s="16">
        <f>IF(Coleta!$J60="","",Coleta!K60)</f>
        <v>3</v>
      </c>
      <c r="G60" s="16">
        <f>IF(Coleta!$J60="","",Coleta!L60)</f>
        <v>0.5</v>
      </c>
      <c r="H60" s="16">
        <f>IF(Coleta!$J60="","",Coleta!M60)</f>
        <v>0</v>
      </c>
      <c r="I60" s="16">
        <f>IF(Coleta!$J60="","",Coleta!P60)</f>
        <v>0</v>
      </c>
      <c r="J60" s="16">
        <f>IF(Coleta!$J60="","",Coleta!Q60)</f>
        <v>0</v>
      </c>
      <c r="K60" s="16" t="str">
        <f>IF(Coleta!$J60="","",Coleta!C60)</f>
        <v>Probe-BR</v>
      </c>
    </row>
    <row r="61" spans="1:11" x14ac:dyDescent="0.3">
      <c r="A61" s="16" t="str">
        <f>IF(Coleta!$J61="","",Coleta!F61)</f>
        <v>2026-10-18T04:24:00Z</v>
      </c>
      <c r="B61" s="16" t="str">
        <f>IF(Coleta!$J61="","",Coleta!B61)</f>
        <v>Probe-BR|192.168.12.10</v>
      </c>
      <c r="C61" s="16" t="str">
        <f>IF(Coleta!$J61="","",Coleta!D61)</f>
        <v>A</v>
      </c>
      <c r="D61" s="16" t="str">
        <f>IF(Coleta!$J61="","",Coleta!E61)</f>
        <v>Normal</v>
      </c>
      <c r="E61" s="16">
        <f>IF(Coleta!$J61="","",Coleta!J61)</f>
        <v>3</v>
      </c>
      <c r="F61" s="16">
        <f>IF(Coleta!$J61="","",Coleta!K61)</f>
        <v>3</v>
      </c>
      <c r="G61" s="16">
        <f>IF(Coleta!$J61="","",Coleta!L61)</f>
        <v>0.66666666666666663</v>
      </c>
      <c r="H61" s="16">
        <f>IF(Coleta!$J61="","",Coleta!M61)</f>
        <v>0</v>
      </c>
      <c r="I61" s="16">
        <f>IF(Coleta!$J61="","",Coleta!P61)</f>
        <v>0.25</v>
      </c>
      <c r="J61" s="16">
        <f>IF(Coleta!$J61="","",Coleta!Q61)</f>
        <v>0</v>
      </c>
      <c r="K61" s="16" t="str">
        <f>IF(Coleta!$J61="","",Coleta!C61)</f>
        <v>Probe-BR</v>
      </c>
    </row>
    <row r="62" spans="1:11" x14ac:dyDescent="0.3">
      <c r="A62" s="16" t="str">
        <f>IF(Coleta!$J62="","",Coleta!F62)</f>
        <v>2026-10-18T04:38:00Z</v>
      </c>
      <c r="B62" s="16" t="str">
        <f>IF(Coleta!$J62="","",Coleta!B62)</f>
        <v>Probe-BR|192.168.42.10</v>
      </c>
      <c r="C62" s="16" t="str">
        <f>IF(Coleta!$J62="","",Coleta!D62)</f>
        <v>A</v>
      </c>
      <c r="D62" s="16" t="str">
        <f>IF(Coleta!$J62="","",Coleta!E62)</f>
        <v>Normal</v>
      </c>
      <c r="E62" s="16">
        <f>IF(Coleta!$J62="","",Coleta!J62)</f>
        <v>3</v>
      </c>
      <c r="F62" s="16">
        <f>IF(Coleta!$J62="","",Coleta!K62)</f>
        <v>2</v>
      </c>
      <c r="G62" s="16">
        <f>IF(Coleta!$J62="","",Coleta!L62)</f>
        <v>4.5</v>
      </c>
      <c r="H62" s="16">
        <f>IF(Coleta!$J62="","",Coleta!M62)</f>
        <v>33.333333333333329</v>
      </c>
      <c r="I62" s="16">
        <f>IF(Coleta!$J62="","",Coleta!P62)</f>
        <v>7</v>
      </c>
      <c r="J62" s="16">
        <f>IF(Coleta!$J62="","",Coleta!Q62)</f>
        <v>0</v>
      </c>
      <c r="K62" s="16" t="str">
        <f>IF(Coleta!$J62="","",Coleta!C62)</f>
        <v>Probe-BR</v>
      </c>
    </row>
    <row r="63" spans="1:11" x14ac:dyDescent="0.3">
      <c r="A63" s="16" t="str">
        <f>IF(Coleta!$J63="","",Coleta!F63)</f>
        <v>2026-10-18T04:40:00Z</v>
      </c>
      <c r="B63" s="16" t="str">
        <f>IF(Coleta!$J63="","",Coleta!B63)</f>
        <v>Probe-BR|192.168.42.10</v>
      </c>
      <c r="C63" s="16" t="str">
        <f>IF(Coleta!$J63="","",Coleta!D63)</f>
        <v>A</v>
      </c>
      <c r="D63" s="16" t="str">
        <f>IF(Coleta!$J63="","",Coleta!E63)</f>
        <v>Normal</v>
      </c>
      <c r="E63" s="16">
        <f>IF(Coleta!$J63="","",Coleta!J63)</f>
        <v>3</v>
      </c>
      <c r="F63" s="16">
        <f>IF(Coleta!$J63="","",Coleta!K63)</f>
        <v>3</v>
      </c>
      <c r="G63" s="16">
        <f>IF(Coleta!$J63="","",Coleta!L63)</f>
        <v>8.3333333333333339</v>
      </c>
      <c r="H63" s="16">
        <f>IF(Coleta!$J63="","",Coleta!M63)</f>
        <v>0</v>
      </c>
      <c r="I63" s="16">
        <f>IF(Coleta!$J63="","",Coleta!P63)</f>
        <v>11</v>
      </c>
      <c r="J63" s="16">
        <f>IF(Coleta!$J63="","",Coleta!Q63)</f>
        <v>0</v>
      </c>
      <c r="K63" s="16" t="str">
        <f>IF(Coleta!$J63="","",Coleta!C63)</f>
        <v>Probe-BR</v>
      </c>
    </row>
    <row r="64" spans="1:11" x14ac:dyDescent="0.3">
      <c r="A64" s="16" t="str">
        <f>IF(Coleta!$J64="","",Coleta!F64)</f>
        <v>2026-10-18T04:42:00Z</v>
      </c>
      <c r="B64" s="16" t="str">
        <f>IF(Coleta!$J64="","",Coleta!B64)</f>
        <v>Probe-BR|192.168.42.10</v>
      </c>
      <c r="C64" s="16" t="str">
        <f>IF(Coleta!$J64="","",Coleta!D64)</f>
        <v>A</v>
      </c>
      <c r="D64" s="16" t="str">
        <f>IF(Coleta!$J64="","",Coleta!E64)</f>
        <v>Normal</v>
      </c>
      <c r="E64" s="16">
        <f>IF(Coleta!$J64="","",Coleta!J64)</f>
        <v>3</v>
      </c>
      <c r="F64" s="16">
        <f>IF(Coleta!$J64="","",Coleta!K64)</f>
        <v>3</v>
      </c>
      <c r="G64" s="16">
        <f>IF(Coleta!$J64="","",Coleta!L64)</f>
        <v>20.666666666666668</v>
      </c>
      <c r="H64" s="16">
        <f>IF(Coleta!$J64="","",Coleta!M64)</f>
        <v>0</v>
      </c>
      <c r="I64" s="16">
        <f>IF(Coleta!$J64="","",Coleta!P64)</f>
        <v>0.5</v>
      </c>
      <c r="J64" s="16">
        <f>IF(Coleta!$J64="","",Coleta!Q64)</f>
        <v>0</v>
      </c>
      <c r="K64" s="16" t="str">
        <f>IF(Coleta!$J64="","",Coleta!C64)</f>
        <v>Probe-BR</v>
      </c>
    </row>
    <row r="65" spans="1:11" x14ac:dyDescent="0.3">
      <c r="A65" s="16" t="str">
        <f>IF(Coleta!$J65="","",Coleta!F65)</f>
        <v>2026-10-18T04:44:00Z</v>
      </c>
      <c r="B65" s="16" t="str">
        <f>IF(Coleta!$J65="","",Coleta!B65)</f>
        <v>Probe-BR|192.168.42.10</v>
      </c>
      <c r="C65" s="16" t="str">
        <f>IF(Coleta!$J65="","",Coleta!D65)</f>
        <v>A</v>
      </c>
      <c r="D65" s="16" t="str">
        <f>IF(Coleta!$J65="","",Coleta!E65)</f>
        <v>Normal</v>
      </c>
      <c r="E65" s="16">
        <f>IF(Coleta!$J65="","",Coleta!J65)</f>
        <v>3</v>
      </c>
      <c r="F65" s="16">
        <f>IF(Coleta!$J65="","",Coleta!K65)</f>
        <v>3</v>
      </c>
      <c r="G65" s="16">
        <f>IF(Coleta!$J65="","",Coleta!L65)</f>
        <v>1</v>
      </c>
      <c r="H65" s="16">
        <f>IF(Coleta!$J65="","",Coleta!M65)</f>
        <v>0</v>
      </c>
      <c r="I65" s="16">
        <f>IF(Coleta!$J65="","",Coleta!P65)</f>
        <v>0</v>
      </c>
      <c r="J65" s="16">
        <f>IF(Coleta!$J65="","",Coleta!Q65)</f>
        <v>0</v>
      </c>
      <c r="K65" s="16" t="str">
        <f>IF(Coleta!$J65="","",Coleta!C65)</f>
        <v>Probe-BR</v>
      </c>
    </row>
    <row r="66" spans="1:11" x14ac:dyDescent="0.3">
      <c r="A66" s="16" t="str">
        <f>IF(Coleta!$J66="","",Coleta!F66)</f>
        <v>2026-10-18T04:45:00Z</v>
      </c>
      <c r="B66" s="16" t="str">
        <f>IF(Coleta!$J66="","",Coleta!B66)</f>
        <v>Probe-BR|192.168.42.10</v>
      </c>
      <c r="C66" s="16" t="str">
        <f>IF(Coleta!$J66="","",Coleta!D66)</f>
        <v>A</v>
      </c>
      <c r="D66" s="16" t="str">
        <f>IF(Coleta!$J66="","",Coleta!E66)</f>
        <v>Normal</v>
      </c>
      <c r="E66" s="16">
        <f>IF(Coleta!$J66="","",Coleta!J66)</f>
        <v>3</v>
      </c>
      <c r="F66" s="16">
        <f>IF(Coleta!$J66="","",Coleta!K66)</f>
        <v>3</v>
      </c>
      <c r="G66" s="16">
        <f>IF(Coleta!$J66="","",Coleta!L66)</f>
        <v>16.333333333333332</v>
      </c>
      <c r="H66" s="16">
        <f>IF(Coleta!$J66="","",Coleta!M66)</f>
        <v>0</v>
      </c>
      <c r="I66" s="16">
        <f>IF(Coleta!$J66="","",Coleta!P66)</f>
        <v>5</v>
      </c>
      <c r="J66" s="16">
        <f>IF(Coleta!$J66="","",Coleta!Q66)</f>
        <v>0</v>
      </c>
      <c r="K66" s="16" t="str">
        <f>IF(Coleta!$J66="","",Coleta!C66)</f>
        <v>Probe-BR</v>
      </c>
    </row>
    <row r="67" spans="1:11" x14ac:dyDescent="0.3">
      <c r="A67" s="16" t="str">
        <f>IF(Coleta!$J67="","",Coleta!F67)</f>
        <v>2026-10-18T04:47:00Z</v>
      </c>
      <c r="B67" s="16" t="str">
        <f>IF(Coleta!$J67="","",Coleta!B67)</f>
        <v>Probe-BR|192.168.42.10</v>
      </c>
      <c r="C67" s="16" t="str">
        <f>IF(Coleta!$J67="","",Coleta!D67)</f>
        <v>A</v>
      </c>
      <c r="D67" s="16" t="str">
        <f>IF(Coleta!$J67="","",Coleta!E67)</f>
        <v>Normal</v>
      </c>
      <c r="E67" s="16">
        <f>IF(Coleta!$J67="","",Coleta!J67)</f>
        <v>3</v>
      </c>
      <c r="F67" s="16">
        <f>IF(Coleta!$J67="","",Coleta!K67)</f>
        <v>3</v>
      </c>
      <c r="G67" s="16">
        <f>IF(Coleta!$J67="","",Coleta!L67)</f>
        <v>8</v>
      </c>
      <c r="H67" s="16">
        <f>IF(Coleta!$J67="","",Coleta!M67)</f>
        <v>0</v>
      </c>
      <c r="I67" s="16">
        <f>IF(Coleta!$J67="","",Coleta!P67)</f>
        <v>10.5</v>
      </c>
      <c r="J67" s="16">
        <f>IF(Coleta!$J67="","",Coleta!Q67)</f>
        <v>0</v>
      </c>
      <c r="K67" s="16" t="str">
        <f>IF(Coleta!$J67="","",Coleta!C67)</f>
        <v>Probe-BR</v>
      </c>
    </row>
    <row r="68" spans="1:11" x14ac:dyDescent="0.3">
      <c r="A68" s="16" t="str">
        <f>IF(Coleta!$J68="","",Coleta!F68)</f>
        <v>2026-10-18T04:48:00Z</v>
      </c>
      <c r="B68" s="16" t="str">
        <f>IF(Coleta!$J68="","",Coleta!B68)</f>
        <v>Probe-BR|192.168.42.10</v>
      </c>
      <c r="C68" s="16" t="str">
        <f>IF(Coleta!$J68="","",Coleta!D68)</f>
        <v>A</v>
      </c>
      <c r="D68" s="16" t="str">
        <f>IF(Coleta!$J68="","",Coleta!E68)</f>
        <v>Normal</v>
      </c>
      <c r="E68" s="16">
        <f>IF(Coleta!$J68="","",Coleta!J68)</f>
        <v>3</v>
      </c>
      <c r="F68" s="16">
        <f>IF(Coleta!$J68="","",Coleta!K68)</f>
        <v>3</v>
      </c>
      <c r="G68" s="16">
        <f>IF(Coleta!$J68="","",Coleta!L68)</f>
        <v>16.666666666666668</v>
      </c>
      <c r="H68" s="16">
        <f>IF(Coleta!$J68="","",Coleta!M68)</f>
        <v>0</v>
      </c>
      <c r="I68" s="16">
        <f>IF(Coleta!$J68="","",Coleta!P68)</f>
        <v>18</v>
      </c>
      <c r="J68" s="16">
        <f>IF(Coleta!$J68="","",Coleta!Q68)</f>
        <v>0</v>
      </c>
      <c r="K68" s="16" t="str">
        <f>IF(Coleta!$J68="","",Coleta!C68)</f>
        <v>Probe-BR</v>
      </c>
    </row>
    <row r="69" spans="1:11" x14ac:dyDescent="0.3">
      <c r="A69" s="16" t="str">
        <f>IF(Coleta!$J69="","",Coleta!F69)</f>
        <v>2026-10-18T04:51:00Z</v>
      </c>
      <c r="B69" s="16" t="str">
        <f>IF(Coleta!$J69="","",Coleta!B69)</f>
        <v>Probe-BR|192.168.42.10</v>
      </c>
      <c r="C69" s="16" t="str">
        <f>IF(Coleta!$J69="","",Coleta!D69)</f>
        <v>A</v>
      </c>
      <c r="D69" s="16" t="str">
        <f>IF(Coleta!$J69="","",Coleta!E69)</f>
        <v>Normal</v>
      </c>
      <c r="E69" s="16">
        <f>IF(Coleta!$J69="","",Coleta!J69)</f>
        <v>3</v>
      </c>
      <c r="F69" s="16">
        <f>IF(Coleta!$J69="","",Coleta!K69)</f>
        <v>3</v>
      </c>
      <c r="G69" s="16">
        <f>IF(Coleta!$J69="","",Coleta!L69)</f>
        <v>3</v>
      </c>
      <c r="H69" s="16">
        <f>IF(Coleta!$J69="","",Coleta!M69)</f>
        <v>0</v>
      </c>
      <c r="I69" s="16">
        <f>IF(Coleta!$J69="","",Coleta!P69)</f>
        <v>3</v>
      </c>
      <c r="J69" s="16">
        <f>IF(Coleta!$J69="","",Coleta!Q69)</f>
        <v>0</v>
      </c>
      <c r="K69" s="16" t="str">
        <f>IF(Coleta!$J69="","",Coleta!C69)</f>
        <v>Probe-BR</v>
      </c>
    </row>
    <row r="70" spans="1:11" x14ac:dyDescent="0.3">
      <c r="A70" s="16" t="str">
        <f>IF(Coleta!$J70="","",Coleta!F70)</f>
        <v>2026-10-18T04:52:00Z</v>
      </c>
      <c r="B70" s="16" t="str">
        <f>IF(Coleta!$J70="","",Coleta!B70)</f>
        <v>Probe-BR|192.168.42.10</v>
      </c>
      <c r="C70" s="16" t="str">
        <f>IF(Coleta!$J70="","",Coleta!D70)</f>
        <v>A</v>
      </c>
      <c r="D70" s="16" t="str">
        <f>IF(Coleta!$J70="","",Coleta!E70)</f>
        <v>Normal</v>
      </c>
      <c r="E70" s="16">
        <f>IF(Coleta!$J70="","",Coleta!J70)</f>
        <v>3</v>
      </c>
      <c r="F70" s="16">
        <f>IF(Coleta!$J70="","",Coleta!K70)</f>
        <v>3</v>
      </c>
      <c r="G70" s="16">
        <f>IF(Coleta!$J70="","",Coleta!L70)</f>
        <v>7.333333333333333</v>
      </c>
      <c r="H70" s="16">
        <f>IF(Coleta!$J70="","",Coleta!M70)</f>
        <v>0</v>
      </c>
      <c r="I70" s="16">
        <f>IF(Coleta!$J70="","",Coleta!P70)</f>
        <v>6</v>
      </c>
      <c r="J70" s="16">
        <f>IF(Coleta!$J70="","",Coleta!Q70)</f>
        <v>0</v>
      </c>
      <c r="K70" s="16" t="str">
        <f>IF(Coleta!$J70="","",Coleta!C70)</f>
        <v>Probe-BR</v>
      </c>
    </row>
    <row r="71" spans="1:11" x14ac:dyDescent="0.3">
      <c r="A71" s="16" t="str">
        <f>IF(Coleta!$J71="","",Coleta!F71)</f>
        <v>2026-10-18T04:54:00Z</v>
      </c>
      <c r="B71" s="16" t="str">
        <f>IF(Coleta!$J71="","",Coleta!B71)</f>
        <v>Probe-BR|192.168.42.10</v>
      </c>
      <c r="C71" s="16" t="str">
        <f>IF(Coleta!$J71="","",Coleta!D71)</f>
        <v>A</v>
      </c>
      <c r="D71" s="16" t="str">
        <f>IF(Coleta!$J71="","",Coleta!E71)</f>
        <v>Normal</v>
      </c>
      <c r="E71" s="16">
        <f>IF(Coleta!$J71="","",Coleta!J71)</f>
        <v>3</v>
      </c>
      <c r="F71" s="16">
        <f>IF(Coleta!$J71="","",Coleta!K71)</f>
        <v>3</v>
      </c>
      <c r="G71" s="16">
        <f>IF(Coleta!$J71="","",Coleta!L71)</f>
        <v>18.333333333333332</v>
      </c>
      <c r="H71" s="16">
        <f>IF(Coleta!$J71="","",Coleta!M71)</f>
        <v>0</v>
      </c>
      <c r="I71" s="16">
        <f>IF(Coleta!$J71="","",Coleta!P71)</f>
        <v>8</v>
      </c>
      <c r="J71" s="16">
        <f>IF(Coleta!$J71="","",Coleta!Q71)</f>
        <v>0</v>
      </c>
      <c r="K71" s="16" t="str">
        <f>IF(Coleta!$J71="","",Coleta!C71)</f>
        <v>Probe-BR</v>
      </c>
    </row>
    <row r="72" spans="1:11" x14ac:dyDescent="0.3">
      <c r="A72" s="16" t="str">
        <f>IF(Coleta!$J72="","",Coleta!F72)</f>
        <v>2026-10-18T04:56:00Z</v>
      </c>
      <c r="B72" s="16" t="str">
        <f>IF(Coleta!$J72="","",Coleta!B72)</f>
        <v>Probe-BR|192.168.42.10</v>
      </c>
      <c r="C72" s="16" t="str">
        <f>IF(Coleta!$J72="","",Coleta!D72)</f>
        <v>A</v>
      </c>
      <c r="D72" s="16" t="str">
        <f>IF(Coleta!$J72="","",Coleta!E72)</f>
        <v>Normal</v>
      </c>
      <c r="E72" s="16">
        <f>IF(Coleta!$J72="","",Coleta!J72)</f>
        <v>3</v>
      </c>
      <c r="F72" s="16">
        <f>IF(Coleta!$J72="","",Coleta!K72)</f>
        <v>3</v>
      </c>
      <c r="G72" s="16">
        <f>IF(Coleta!$J72="","",Coleta!L72)</f>
        <v>14</v>
      </c>
      <c r="H72" s="16">
        <f>IF(Coleta!$J72="","",Coleta!M72)</f>
        <v>0</v>
      </c>
      <c r="I72" s="16">
        <f>IF(Coleta!$J72="","",Coleta!P72)</f>
        <v>7.5</v>
      </c>
      <c r="J72" s="16">
        <f>IF(Coleta!$J72="","",Coleta!Q72)</f>
        <v>0</v>
      </c>
      <c r="K72" s="16" t="str">
        <f>IF(Coleta!$J72="","",Coleta!C72)</f>
        <v>Probe-BR</v>
      </c>
    </row>
    <row r="73" spans="1:11" x14ac:dyDescent="0.3">
      <c r="A73" s="16" t="str">
        <f>IF(Coleta!$J73="","",Coleta!F73)</f>
        <v>2026-10-18T04:59:00Z</v>
      </c>
      <c r="B73" s="16" t="str">
        <f>IF(Coleta!$J73="","",Coleta!B73)</f>
        <v>Probe-BR|192.168.42.10</v>
      </c>
      <c r="C73" s="16" t="str">
        <f>IF(Coleta!$J73="","",Coleta!D73)</f>
        <v>A</v>
      </c>
      <c r="D73" s="16" t="str">
        <f>IF(Coleta!$J73="","",Coleta!E73)</f>
        <v>Normal</v>
      </c>
      <c r="E73" s="16">
        <f>IF(Coleta!$J73="","",Coleta!J73)</f>
        <v>3</v>
      </c>
      <c r="F73" s="16">
        <f>IF(Coleta!$J73="","",Coleta!K73)</f>
        <v>3</v>
      </c>
      <c r="G73" s="16">
        <f>IF(Coleta!$J73="","",Coleta!L73)</f>
        <v>15.666666666666666</v>
      </c>
      <c r="H73" s="16">
        <f>IF(Coleta!$J73="","",Coleta!M73)</f>
        <v>0</v>
      </c>
      <c r="I73" s="16">
        <f>IF(Coleta!$J73="","",Coleta!P73)</f>
        <v>5.5</v>
      </c>
      <c r="J73" s="16">
        <f>IF(Coleta!$J73="","",Coleta!Q73)</f>
        <v>0</v>
      </c>
      <c r="K73" s="16" t="str">
        <f>IF(Coleta!$J73="","",Coleta!C73)</f>
        <v>Probe-BR</v>
      </c>
    </row>
    <row r="74" spans="1:11" x14ac:dyDescent="0.3">
      <c r="A74" s="16" t="str">
        <f>IF(Coleta!$J74="","",Coleta!F74)</f>
        <v>2026-10-18T05:00:00Z</v>
      </c>
      <c r="B74" s="16" t="str">
        <f>IF(Coleta!$J74="","",Coleta!B74)</f>
        <v>Probe-BR|192.168.42.10</v>
      </c>
      <c r="C74" s="16" t="str">
        <f>IF(Coleta!$J74="","",Coleta!D74)</f>
        <v>A</v>
      </c>
      <c r="D74" s="16" t="str">
        <f>IF(Coleta!$J74="","",Coleta!E74)</f>
        <v>Normal</v>
      </c>
      <c r="E74" s="16">
        <f>IF(Coleta!$J74="","",Coleta!J74)</f>
        <v>3</v>
      </c>
      <c r="F74" s="16">
        <f>IF(Coleta!$J74="","",Coleta!K74)</f>
        <v>3</v>
      </c>
      <c r="G74" s="16">
        <f>IF(Coleta!$J74="","",Coleta!L74)</f>
        <v>9</v>
      </c>
      <c r="H74" s="16">
        <f>IF(Coleta!$J74="","",Coleta!M74)</f>
        <v>0</v>
      </c>
      <c r="I74" s="16">
        <f>IF(Coleta!$J74="","",Coleta!P74)</f>
        <v>7.5</v>
      </c>
      <c r="J74" s="16">
        <f>IF(Coleta!$J74="","",Coleta!Q74)</f>
        <v>0</v>
      </c>
      <c r="K74" s="16" t="str">
        <f>IF(Coleta!$J74="","",Coleta!C74)</f>
        <v>Probe-BR</v>
      </c>
    </row>
    <row r="75" spans="1:11" x14ac:dyDescent="0.3">
      <c r="A75" s="16" t="str">
        <f>IF(Coleta!$J75="","",Coleta!F75)</f>
        <v>2026-10-18T05:02:00Z</v>
      </c>
      <c r="B75" s="16" t="str">
        <f>IF(Coleta!$J75="","",Coleta!B75)</f>
        <v>Probe-BR|192.168.42.10</v>
      </c>
      <c r="C75" s="16" t="str">
        <f>IF(Coleta!$J75="","",Coleta!D75)</f>
        <v>A</v>
      </c>
      <c r="D75" s="16" t="str">
        <f>IF(Coleta!$J75="","",Coleta!E75)</f>
        <v>Normal</v>
      </c>
      <c r="E75" s="16">
        <f>IF(Coleta!$J75="","",Coleta!J75)</f>
        <v>3</v>
      </c>
      <c r="F75" s="16">
        <f>IF(Coleta!$J75="","",Coleta!K75)</f>
        <v>3</v>
      </c>
      <c r="G75" s="16">
        <f>IF(Coleta!$J75="","",Coleta!L75)</f>
        <v>10.666666666666666</v>
      </c>
      <c r="H75" s="16">
        <f>IF(Coleta!$J75="","",Coleta!M75)</f>
        <v>0</v>
      </c>
      <c r="I75" s="16">
        <f>IF(Coleta!$J75="","",Coleta!P75)</f>
        <v>13</v>
      </c>
      <c r="J75" s="16">
        <f>IF(Coleta!$J75="","",Coleta!Q75)</f>
        <v>0</v>
      </c>
      <c r="K75" s="16" t="str">
        <f>IF(Coleta!$J75="","",Coleta!C75)</f>
        <v>Probe-BR</v>
      </c>
    </row>
    <row r="76" spans="1:11" x14ac:dyDescent="0.3">
      <c r="A76" s="16" t="str">
        <f>IF(Coleta!$J76="","",Coleta!F76)</f>
        <v>2026-10-18T05:03:00Z</v>
      </c>
      <c r="B76" s="16" t="str">
        <f>IF(Coleta!$J76="","",Coleta!B76)</f>
        <v>Probe-BR|192.168.42.10</v>
      </c>
      <c r="C76" s="16" t="str">
        <f>IF(Coleta!$J76="","",Coleta!D76)</f>
        <v>A</v>
      </c>
      <c r="D76" s="16" t="str">
        <f>IF(Coleta!$J76="","",Coleta!E76)</f>
        <v>Normal</v>
      </c>
      <c r="E76" s="16">
        <f>IF(Coleta!$J76="","",Coleta!J76)</f>
        <v>3</v>
      </c>
      <c r="F76" s="16">
        <f>IF(Coleta!$J76="","",Coleta!K76)</f>
        <v>3</v>
      </c>
      <c r="G76" s="16">
        <f>IF(Coleta!$J76="","",Coleta!L76)</f>
        <v>7.333333333333333</v>
      </c>
      <c r="H76" s="16">
        <f>IF(Coleta!$J76="","",Coleta!M76)</f>
        <v>0</v>
      </c>
      <c r="I76" s="16">
        <f>IF(Coleta!$J76="","",Coleta!P76)</f>
        <v>9.5</v>
      </c>
      <c r="J76" s="16">
        <f>IF(Coleta!$J76="","",Coleta!Q76)</f>
        <v>0</v>
      </c>
      <c r="K76" s="16" t="str">
        <f>IF(Coleta!$J76="","",Coleta!C76)</f>
        <v>Probe-BR</v>
      </c>
    </row>
    <row r="77" spans="1:11" x14ac:dyDescent="0.3">
      <c r="A77" s="16" t="str">
        <f>IF(Coleta!$J77="","",Coleta!F77)</f>
        <v>2026-10-18T05:05:00Z</v>
      </c>
      <c r="B77" s="16" t="str">
        <f>IF(Coleta!$J77="","",Coleta!B77)</f>
        <v>Probe-BR|192.168.42.10</v>
      </c>
      <c r="C77" s="16" t="str">
        <f>IF(Coleta!$J77="","",Coleta!D77)</f>
        <v>A</v>
      </c>
      <c r="D77" s="16" t="str">
        <f>IF(Coleta!$J77="","",Coleta!E77)</f>
        <v>Normal</v>
      </c>
      <c r="E77" s="16">
        <f>IF(Coleta!$J77="","",Coleta!J77)</f>
        <v>3</v>
      </c>
      <c r="F77" s="16">
        <f>IF(Coleta!$J77="","",Coleta!K77)</f>
        <v>3</v>
      </c>
      <c r="G77" s="16">
        <f>IF(Coleta!$J77="","",Coleta!L77)</f>
        <v>8.6666666666666661</v>
      </c>
      <c r="H77" s="16">
        <f>IF(Coleta!$J77="","",Coleta!M77)</f>
        <v>0</v>
      </c>
      <c r="I77" s="16">
        <f>IF(Coleta!$J77="","",Coleta!P77)</f>
        <v>5</v>
      </c>
      <c r="J77" s="16">
        <f>IF(Coleta!$J77="","",Coleta!Q77)</f>
        <v>0</v>
      </c>
      <c r="K77" s="16" t="str">
        <f>IF(Coleta!$J77="","",Coleta!C77)</f>
        <v>Probe-BR</v>
      </c>
    </row>
    <row r="78" spans="1:11" x14ac:dyDescent="0.3">
      <c r="A78" s="16" t="str">
        <f>IF(Coleta!$J78="","",Coleta!F78)</f>
        <v>2026-10-18T05:07:00Z</v>
      </c>
      <c r="B78" s="16" t="str">
        <f>IF(Coleta!$J78="","",Coleta!B78)</f>
        <v>Probe-BR|192.168.42.10</v>
      </c>
      <c r="C78" s="16" t="str">
        <f>IF(Coleta!$J78="","",Coleta!D78)</f>
        <v>A</v>
      </c>
      <c r="D78" s="16" t="str">
        <f>IF(Coleta!$J78="","",Coleta!E78)</f>
        <v>Normal</v>
      </c>
      <c r="E78" s="16">
        <f>IF(Coleta!$J78="","",Coleta!J78)</f>
        <v>3</v>
      </c>
      <c r="F78" s="16">
        <f>IF(Coleta!$J78="","",Coleta!K78)</f>
        <v>3</v>
      </c>
      <c r="G78" s="16">
        <f>IF(Coleta!$J78="","",Coleta!L78)</f>
        <v>2</v>
      </c>
      <c r="H78" s="16">
        <f>IF(Coleta!$J78="","",Coleta!M78)</f>
        <v>0</v>
      </c>
      <c r="I78" s="16">
        <f>IF(Coleta!$J78="","",Coleta!P78)</f>
        <v>1.5</v>
      </c>
      <c r="J78" s="16">
        <f>IF(Coleta!$J78="","",Coleta!Q78)</f>
        <v>0</v>
      </c>
      <c r="K78" s="16" t="str">
        <f>IF(Coleta!$J78="","",Coleta!C78)</f>
        <v>Probe-BR</v>
      </c>
    </row>
    <row r="79" spans="1:11" x14ac:dyDescent="0.3">
      <c r="A79" s="16" t="str">
        <f>IF(Coleta!$J79="","",Coleta!F79)</f>
        <v>2026-10-18T05:09:00Z</v>
      </c>
      <c r="B79" s="16" t="str">
        <f>IF(Coleta!$J79="","",Coleta!B79)</f>
        <v>Probe-BR|192.168.42.10</v>
      </c>
      <c r="C79" s="16" t="str">
        <f>IF(Coleta!$J79="","",Coleta!D79)</f>
        <v>A</v>
      </c>
      <c r="D79" s="16" t="str">
        <f>IF(Coleta!$J79="","",Coleta!E79)</f>
        <v>Normal</v>
      </c>
      <c r="E79" s="16">
        <f>IF(Coleta!$J79="","",Coleta!J79)</f>
        <v>3</v>
      </c>
      <c r="F79" s="16">
        <f>IF(Coleta!$J79="","",Coleta!K79)</f>
        <v>3</v>
      </c>
      <c r="G79" s="16">
        <f>IF(Coleta!$J79="","",Coleta!L79)</f>
        <v>8.6666666666666661</v>
      </c>
      <c r="H79" s="16">
        <f>IF(Coleta!$J79="","",Coleta!M79)</f>
        <v>0</v>
      </c>
      <c r="I79" s="16">
        <f>IF(Coleta!$J79="","",Coleta!P79)</f>
        <v>11.5</v>
      </c>
      <c r="J79" s="16">
        <f>IF(Coleta!$J79="","",Coleta!Q79)</f>
        <v>0</v>
      </c>
      <c r="K79" s="16" t="str">
        <f>IF(Coleta!$J79="","",Coleta!C79)</f>
        <v>Probe-BR</v>
      </c>
    </row>
    <row r="80" spans="1:11" x14ac:dyDescent="0.3">
      <c r="A80" s="16" t="str">
        <f>IF(Coleta!$J80="","",Coleta!F80)</f>
        <v>2026-10-18T05:11:00Z</v>
      </c>
      <c r="B80" s="16" t="str">
        <f>IF(Coleta!$J80="","",Coleta!B80)</f>
        <v>Probe-BR|192.168.42.10</v>
      </c>
      <c r="C80" s="16" t="str">
        <f>IF(Coleta!$J80="","",Coleta!D80)</f>
        <v>A</v>
      </c>
      <c r="D80" s="16" t="str">
        <f>IF(Coleta!$J80="","",Coleta!E80)</f>
        <v>Normal</v>
      </c>
      <c r="E80" s="16">
        <f>IF(Coleta!$J80="","",Coleta!J80)</f>
        <v>3</v>
      </c>
      <c r="F80" s="16">
        <f>IF(Coleta!$J80="","",Coleta!K80)</f>
        <v>3</v>
      </c>
      <c r="G80" s="16">
        <f>IF(Coleta!$J80="","",Coleta!L80)</f>
        <v>8.6666666666666661</v>
      </c>
      <c r="H80" s="16">
        <f>IF(Coleta!$J80="","",Coleta!M80)</f>
        <v>0</v>
      </c>
      <c r="I80" s="16">
        <f>IF(Coleta!$J80="","",Coleta!P80)</f>
        <v>11.5</v>
      </c>
      <c r="J80" s="16">
        <f>IF(Coleta!$J80="","",Coleta!Q80)</f>
        <v>0</v>
      </c>
      <c r="K80" s="16" t="str">
        <f>IF(Coleta!$J80="","",Coleta!C80)</f>
        <v>Probe-BR</v>
      </c>
    </row>
    <row r="81" spans="1:11" x14ac:dyDescent="0.3">
      <c r="A81" s="16" t="str">
        <f>IF(Coleta!$J81="","",Coleta!F81)</f>
        <v>2026-10-18T05:14:00Z</v>
      </c>
      <c r="B81" s="16" t="str">
        <f>IF(Coleta!$J81="","",Coleta!B81)</f>
        <v>Probe-BR|192.168.42.10</v>
      </c>
      <c r="C81" s="16" t="str">
        <f>IF(Coleta!$J81="","",Coleta!D81)</f>
        <v>A</v>
      </c>
      <c r="D81" s="16" t="str">
        <f>IF(Coleta!$J81="","",Coleta!E81)</f>
        <v>Normal</v>
      </c>
      <c r="E81" s="16">
        <f>IF(Coleta!$J81="","",Coleta!J81)</f>
        <v>3</v>
      </c>
      <c r="F81" s="16">
        <f>IF(Coleta!$J81="","",Coleta!K81)</f>
        <v>3</v>
      </c>
      <c r="G81" s="16">
        <f>IF(Coleta!$J81="","",Coleta!L81)</f>
        <v>11</v>
      </c>
      <c r="H81" s="16">
        <f>IF(Coleta!$J81="","",Coleta!M81)</f>
        <v>0</v>
      </c>
      <c r="I81" s="16">
        <f>IF(Coleta!$J81="","",Coleta!P81)</f>
        <v>15</v>
      </c>
      <c r="J81" s="16">
        <f>IF(Coleta!$J81="","",Coleta!Q81)</f>
        <v>0</v>
      </c>
      <c r="K81" s="16" t="str">
        <f>IF(Coleta!$J81="","",Coleta!C81)</f>
        <v>Probe-BR</v>
      </c>
    </row>
    <row r="82" spans="1:11" x14ac:dyDescent="0.3">
      <c r="A82" s="16" t="str">
        <f>IF(Coleta!$J82="","",Coleta!F82)</f>
        <v>2026-10-18T05:23:00Z</v>
      </c>
      <c r="B82" s="16" t="str">
        <f>IF(Coleta!$J82="","",Coleta!B82)</f>
        <v>Probe-BR|192.168.40.10</v>
      </c>
      <c r="C82" s="16" t="str">
        <f>IF(Coleta!$J82="","",Coleta!D82)</f>
        <v>A</v>
      </c>
      <c r="D82" s="16" t="str">
        <f>IF(Coleta!$J82="","",Coleta!E82)</f>
        <v>Normal</v>
      </c>
      <c r="E82" s="16">
        <f>IF(Coleta!$J82="","",Coleta!J82)</f>
        <v>3</v>
      </c>
      <c r="F82" s="16">
        <f>IF(Coleta!$J82="","",Coleta!K82)</f>
        <v>3</v>
      </c>
      <c r="G82" s="16">
        <f>IF(Coleta!$J82="","",Coleta!L82)</f>
        <v>7.666666666666667</v>
      </c>
      <c r="H82" s="16">
        <f>IF(Coleta!$J82="","",Coleta!M82)</f>
        <v>0</v>
      </c>
      <c r="I82" s="16">
        <f>IF(Coleta!$J82="","",Coleta!P82)</f>
        <v>6.5</v>
      </c>
      <c r="J82" s="16">
        <f>IF(Coleta!$J82="","",Coleta!Q82)</f>
        <v>0</v>
      </c>
      <c r="K82" s="16" t="str">
        <f>IF(Coleta!$J82="","",Coleta!C82)</f>
        <v>Probe-BR</v>
      </c>
    </row>
    <row r="83" spans="1:11" x14ac:dyDescent="0.3">
      <c r="A83" s="16" t="str">
        <f>IF(Coleta!$J83="","",Coleta!F83)</f>
        <v>2026-10-18T05:28:00Z</v>
      </c>
      <c r="B83" s="16" t="str">
        <f>IF(Coleta!$J83="","",Coleta!B83)</f>
        <v>Probe-BR|192.168.40.10</v>
      </c>
      <c r="C83" s="16" t="str">
        <f>IF(Coleta!$J83="","",Coleta!D83)</f>
        <v>A</v>
      </c>
      <c r="D83" s="16" t="str">
        <f>IF(Coleta!$J83="","",Coleta!E83)</f>
        <v>Normal</v>
      </c>
      <c r="E83" s="16">
        <f>IF(Coleta!$J83="","",Coleta!J83)</f>
        <v>3</v>
      </c>
      <c r="F83" s="16">
        <f>IF(Coleta!$J83="","",Coleta!K83)</f>
        <v>3</v>
      </c>
      <c r="G83" s="16">
        <f>IF(Coleta!$J83="","",Coleta!L83)</f>
        <v>2.6666666666666665</v>
      </c>
      <c r="H83" s="16">
        <f>IF(Coleta!$J83="","",Coleta!M83)</f>
        <v>0</v>
      </c>
      <c r="I83" s="16">
        <f>IF(Coleta!$J83="","",Coleta!P83)</f>
        <v>2.5</v>
      </c>
      <c r="J83" s="16">
        <f>IF(Coleta!$J83="","",Coleta!Q83)</f>
        <v>0</v>
      </c>
      <c r="K83" s="16" t="str">
        <f>IF(Coleta!$J83="","",Coleta!C83)</f>
        <v>Probe-BR</v>
      </c>
    </row>
    <row r="84" spans="1:11" x14ac:dyDescent="0.3">
      <c r="A84" s="16" t="str">
        <f>IF(Coleta!$J84="","",Coleta!F84)</f>
        <v>2026-10-18T05:29:00Z</v>
      </c>
      <c r="B84" s="16" t="str">
        <f>IF(Coleta!$J84="","",Coleta!B84)</f>
        <v>Probe-BR|192.168.40.10</v>
      </c>
      <c r="C84" s="16" t="str">
        <f>IF(Coleta!$J84="","",Coleta!D84)</f>
        <v>A</v>
      </c>
      <c r="D84" s="16" t="str">
        <f>IF(Coleta!$J84="","",Coleta!E84)</f>
        <v>Normal</v>
      </c>
      <c r="E84" s="16">
        <f>IF(Coleta!$J84="","",Coleta!J84)</f>
        <v>3</v>
      </c>
      <c r="F84" s="16">
        <f>IF(Coleta!$J84="","",Coleta!K84)</f>
        <v>3</v>
      </c>
      <c r="G84" s="16">
        <f>IF(Coleta!$J84="","",Coleta!L84)</f>
        <v>1.3333333333333333</v>
      </c>
      <c r="H84" s="16">
        <f>IF(Coleta!$J84="","",Coleta!M84)</f>
        <v>0</v>
      </c>
      <c r="I84" s="16">
        <f>IF(Coleta!$J84="","",Coleta!P84)</f>
        <v>0.5</v>
      </c>
      <c r="J84" s="16">
        <f>IF(Coleta!$J84="","",Coleta!Q84)</f>
        <v>0</v>
      </c>
      <c r="K84" s="16" t="str">
        <f>IF(Coleta!$J84="","",Coleta!C84)</f>
        <v>Probe-BR</v>
      </c>
    </row>
    <row r="85" spans="1:11" x14ac:dyDescent="0.3">
      <c r="A85" s="16" t="str">
        <f>IF(Coleta!$J85="","",Coleta!F85)</f>
        <v>2026-10-18T05:31:00Z</v>
      </c>
      <c r="B85" s="16" t="str">
        <f>IF(Coleta!$J85="","",Coleta!B85)</f>
        <v>Probe-BR|192.168.40.10</v>
      </c>
      <c r="C85" s="16" t="str">
        <f>IF(Coleta!$J85="","",Coleta!D85)</f>
        <v>A</v>
      </c>
      <c r="D85" s="16" t="str">
        <f>IF(Coleta!$J85="","",Coleta!E85)</f>
        <v>Normal</v>
      </c>
      <c r="E85" s="16">
        <f>IF(Coleta!$J85="","",Coleta!J85)</f>
        <v>3</v>
      </c>
      <c r="F85" s="16">
        <f>IF(Coleta!$J85="","",Coleta!K85)</f>
        <v>3</v>
      </c>
      <c r="G85" s="16">
        <f>IF(Coleta!$J85="","",Coleta!L85)</f>
        <v>5</v>
      </c>
      <c r="H85" s="16">
        <f>IF(Coleta!$J85="","",Coleta!M85)</f>
        <v>0</v>
      </c>
      <c r="I85" s="16">
        <f>IF(Coleta!$J85="","",Coleta!P85)</f>
        <v>5.5</v>
      </c>
      <c r="J85" s="16">
        <f>IF(Coleta!$J85="","",Coleta!Q85)</f>
        <v>0</v>
      </c>
      <c r="K85" s="16" t="str">
        <f>IF(Coleta!$J85="","",Coleta!C85)</f>
        <v>Probe-BR</v>
      </c>
    </row>
    <row r="86" spans="1:11" x14ac:dyDescent="0.3">
      <c r="A86" s="16" t="str">
        <f>IF(Coleta!$J86="","",Coleta!F86)</f>
        <v>2026-10-18T05:32:00Z</v>
      </c>
      <c r="B86" s="16" t="str">
        <f>IF(Coleta!$J86="","",Coleta!B86)</f>
        <v>Probe-BR|192.168.40.10</v>
      </c>
      <c r="C86" s="16" t="str">
        <f>IF(Coleta!$J86="","",Coleta!D86)</f>
        <v>A</v>
      </c>
      <c r="D86" s="16" t="str">
        <f>IF(Coleta!$J86="","",Coleta!E86)</f>
        <v>Normal</v>
      </c>
      <c r="E86" s="16">
        <f>IF(Coleta!$J86="","",Coleta!J86)</f>
        <v>3</v>
      </c>
      <c r="F86" s="16">
        <f>IF(Coleta!$J86="","",Coleta!K86)</f>
        <v>3</v>
      </c>
      <c r="G86" s="16">
        <f>IF(Coleta!$J86="","",Coleta!L86)</f>
        <v>11.333333333333334</v>
      </c>
      <c r="H86" s="16">
        <f>IF(Coleta!$J86="","",Coleta!M86)</f>
        <v>0</v>
      </c>
      <c r="I86" s="16">
        <f>IF(Coleta!$J86="","",Coleta!P86)</f>
        <v>9.5</v>
      </c>
      <c r="J86" s="16">
        <f>IF(Coleta!$J86="","",Coleta!Q86)</f>
        <v>0</v>
      </c>
      <c r="K86" s="16" t="str">
        <f>IF(Coleta!$J86="","",Coleta!C86)</f>
        <v>Probe-BR</v>
      </c>
    </row>
    <row r="87" spans="1:11" x14ac:dyDescent="0.3">
      <c r="A87" s="16" t="str">
        <f>IF(Coleta!$J87="","",Coleta!F87)</f>
        <v>2026-10-18T05:34:00Z</v>
      </c>
      <c r="B87" s="16" t="str">
        <f>IF(Coleta!$J87="","",Coleta!B87)</f>
        <v>Probe-BR|192.168.40.10</v>
      </c>
      <c r="C87" s="16" t="str">
        <f>IF(Coleta!$J87="","",Coleta!D87)</f>
        <v>A</v>
      </c>
      <c r="D87" s="16" t="str">
        <f>IF(Coleta!$J87="","",Coleta!E87)</f>
        <v>Normal</v>
      </c>
      <c r="E87" s="16">
        <f>IF(Coleta!$J87="","",Coleta!J87)</f>
        <v>3</v>
      </c>
      <c r="F87" s="16">
        <f>IF(Coleta!$J87="","",Coleta!K87)</f>
        <v>3</v>
      </c>
      <c r="G87" s="16">
        <f>IF(Coleta!$J87="","",Coleta!L87)</f>
        <v>18.666666666666668</v>
      </c>
      <c r="H87" s="16">
        <f>IF(Coleta!$J87="","",Coleta!M87)</f>
        <v>0</v>
      </c>
      <c r="I87" s="16">
        <f>IF(Coleta!$J87="","",Coleta!P87)</f>
        <v>21.5</v>
      </c>
      <c r="J87" s="16">
        <f>IF(Coleta!$J87="","",Coleta!Q87)</f>
        <v>0</v>
      </c>
      <c r="K87" s="16" t="str">
        <f>IF(Coleta!$J87="","",Coleta!C87)</f>
        <v>Probe-BR</v>
      </c>
    </row>
    <row r="88" spans="1:11" x14ac:dyDescent="0.3">
      <c r="A88" s="16" t="str">
        <f>IF(Coleta!$J88="","",Coleta!F88)</f>
        <v>2026-10-18T05:36:00Z</v>
      </c>
      <c r="B88" s="16" t="str">
        <f>IF(Coleta!$J88="","",Coleta!B88)</f>
        <v>Probe-BR|192.168.40.10</v>
      </c>
      <c r="C88" s="16" t="str">
        <f>IF(Coleta!$J88="","",Coleta!D88)</f>
        <v>A</v>
      </c>
      <c r="D88" s="16" t="str">
        <f>IF(Coleta!$J88="","",Coleta!E88)</f>
        <v>Normal</v>
      </c>
      <c r="E88" s="16">
        <f>IF(Coleta!$J88="","",Coleta!J88)</f>
        <v>3</v>
      </c>
      <c r="F88" s="16">
        <f>IF(Coleta!$J88="","",Coleta!K88)</f>
        <v>3</v>
      </c>
      <c r="G88" s="16">
        <f>IF(Coleta!$J88="","",Coleta!L88)</f>
        <v>10.666666666666666</v>
      </c>
      <c r="H88" s="16">
        <f>IF(Coleta!$J88="","",Coleta!M88)</f>
        <v>0</v>
      </c>
      <c r="I88" s="16">
        <f>IF(Coleta!$J88="","",Coleta!P88)</f>
        <v>9</v>
      </c>
      <c r="J88" s="16">
        <f>IF(Coleta!$J88="","",Coleta!Q88)</f>
        <v>0</v>
      </c>
      <c r="K88" s="16" t="str">
        <f>IF(Coleta!$J88="","",Coleta!C88)</f>
        <v>Probe-BR</v>
      </c>
    </row>
    <row r="89" spans="1:11" x14ac:dyDescent="0.3">
      <c r="A89" s="16" t="str">
        <f>IF(Coleta!$J89="","",Coleta!F89)</f>
        <v>2026-10-18T05:38:00Z</v>
      </c>
      <c r="B89" s="16" t="str">
        <f>IF(Coleta!$J89="","",Coleta!B89)</f>
        <v>Probe-BR|192.168.40.10</v>
      </c>
      <c r="C89" s="16" t="str">
        <f>IF(Coleta!$J89="","",Coleta!D89)</f>
        <v>A</v>
      </c>
      <c r="D89" s="16" t="str">
        <f>IF(Coleta!$J89="","",Coleta!E89)</f>
        <v>Normal</v>
      </c>
      <c r="E89" s="16">
        <f>IF(Coleta!$J89="","",Coleta!J89)</f>
        <v>3</v>
      </c>
      <c r="F89" s="16">
        <f>IF(Coleta!$J89="","",Coleta!K89)</f>
        <v>3</v>
      </c>
      <c r="G89" s="16">
        <f>IF(Coleta!$J89="","",Coleta!L89)</f>
        <v>4.666666666666667</v>
      </c>
      <c r="H89" s="16">
        <f>IF(Coleta!$J89="","",Coleta!M89)</f>
        <v>0</v>
      </c>
      <c r="I89" s="16">
        <f>IF(Coleta!$J89="","",Coleta!P89)</f>
        <v>11</v>
      </c>
      <c r="J89" s="16">
        <f>IF(Coleta!$J89="","",Coleta!Q89)</f>
        <v>0</v>
      </c>
      <c r="K89" s="16" t="str">
        <f>IF(Coleta!$J89="","",Coleta!C89)</f>
        <v>Probe-BR</v>
      </c>
    </row>
    <row r="90" spans="1:11" x14ac:dyDescent="0.3">
      <c r="A90" s="16" t="str">
        <f>IF(Coleta!$J90="","",Coleta!F90)</f>
        <v>2026-10-18T14:24:00Z</v>
      </c>
      <c r="B90" s="16" t="str">
        <f>IF(Coleta!$J90="","",Coleta!B90)</f>
        <v>Probe-BR|192.168.40.10</v>
      </c>
      <c r="C90" s="16" t="str">
        <f>IF(Coleta!$J90="","",Coleta!D90)</f>
        <v>A</v>
      </c>
      <c r="D90" s="16" t="str">
        <f>IF(Coleta!$J90="","",Coleta!E90)</f>
        <v>Normal</v>
      </c>
      <c r="E90" s="16">
        <f>IF(Coleta!$J90="","",Coleta!J90)</f>
        <v>3</v>
      </c>
      <c r="F90" s="16">
        <f>IF(Coleta!$J90="","",Coleta!K90)</f>
        <v>2</v>
      </c>
      <c r="G90" s="16">
        <f>IF(Coleta!$J90="","",Coleta!L90)</f>
        <v>18.5</v>
      </c>
      <c r="H90" s="16">
        <f>IF(Coleta!$J90="","",Coleta!M90)</f>
        <v>33.333333333333329</v>
      </c>
      <c r="I90" s="16">
        <f>IF(Coleta!$J90="","",Coleta!P90)</f>
        <v>1</v>
      </c>
      <c r="J90" s="16">
        <f>IF(Coleta!$J90="","",Coleta!Q90)</f>
        <v>0</v>
      </c>
      <c r="K90" s="16" t="str">
        <f>IF(Coleta!$J90="","",Coleta!C90)</f>
        <v>Probe-BR</v>
      </c>
    </row>
    <row r="91" spans="1:11" x14ac:dyDescent="0.3">
      <c r="A91" s="16" t="str">
        <f>IF(Coleta!$J91="","",Coleta!F91)</f>
        <v>2026-10-18T14:26:00Z</v>
      </c>
      <c r="B91" s="16" t="str">
        <f>IF(Coleta!$J91="","",Coleta!B91)</f>
        <v>Probe-BR|192.168.40.10</v>
      </c>
      <c r="C91" s="16" t="str">
        <f>IF(Coleta!$J91="","",Coleta!D91)</f>
        <v>A</v>
      </c>
      <c r="D91" s="16" t="str">
        <f>IF(Coleta!$J91="","",Coleta!E91)</f>
        <v>Normal</v>
      </c>
      <c r="E91" s="16">
        <f>IF(Coleta!$J91="","",Coleta!J91)</f>
        <v>3</v>
      </c>
      <c r="F91" s="16">
        <f>IF(Coleta!$J91="","",Coleta!K91)</f>
        <v>3</v>
      </c>
      <c r="G91" s="16">
        <f>IF(Coleta!$J91="","",Coleta!L91)</f>
        <v>1.6666666666666667</v>
      </c>
      <c r="H91" s="16">
        <f>IF(Coleta!$J91="","",Coleta!M91)</f>
        <v>0</v>
      </c>
      <c r="I91" s="16">
        <f>IF(Coleta!$J91="","",Coleta!P91)</f>
        <v>0.5</v>
      </c>
      <c r="J91" s="16">
        <f>IF(Coleta!$J91="","",Coleta!Q91)</f>
        <v>0</v>
      </c>
      <c r="K91" s="16" t="str">
        <f>IF(Coleta!$J91="","",Coleta!C91)</f>
        <v>Probe-BR</v>
      </c>
    </row>
    <row r="92" spans="1:11" x14ac:dyDescent="0.3">
      <c r="A92" s="16" t="str">
        <f>IF(Coleta!$J92="","",Coleta!F92)</f>
        <v>2026-10-18T14:27:00Z</v>
      </c>
      <c r="B92" s="16" t="str">
        <f>IF(Coleta!$J92="","",Coleta!B92)</f>
        <v>Probe-BR|192.168.40.10</v>
      </c>
      <c r="C92" s="16" t="str">
        <f>IF(Coleta!$J92="","",Coleta!D92)</f>
        <v>A</v>
      </c>
      <c r="D92" s="16" t="str">
        <f>IF(Coleta!$J92="","",Coleta!E92)</f>
        <v>Normal</v>
      </c>
      <c r="E92" s="16">
        <f>IF(Coleta!$J92="","",Coleta!J92)</f>
        <v>3</v>
      </c>
      <c r="F92" s="16">
        <f>IF(Coleta!$J92="","",Coleta!K92)</f>
        <v>3</v>
      </c>
      <c r="G92" s="16">
        <f>IF(Coleta!$J92="","",Coleta!L92)</f>
        <v>1.6666666666666667</v>
      </c>
      <c r="H92" s="16">
        <f>IF(Coleta!$J92="","",Coleta!M92)</f>
        <v>0</v>
      </c>
      <c r="I92" s="16">
        <f>IF(Coleta!$J92="","",Coleta!P92)</f>
        <v>0.5</v>
      </c>
      <c r="J92" s="16">
        <f>IF(Coleta!$J92="","",Coleta!Q92)</f>
        <v>0</v>
      </c>
      <c r="K92" s="16" t="str">
        <f>IF(Coleta!$J92="","",Coleta!C92)</f>
        <v>Probe-BR</v>
      </c>
    </row>
    <row r="93" spans="1:11" x14ac:dyDescent="0.3">
      <c r="A93" s="16" t="str">
        <f>IF(Coleta!$J93="","",Coleta!F93)</f>
        <v>2026-10-18T14:29:00Z</v>
      </c>
      <c r="B93" s="16" t="str">
        <f>IF(Coleta!$J93="","",Coleta!B93)</f>
        <v>Probe-BR|192.168.40.10</v>
      </c>
      <c r="C93" s="16" t="str">
        <f>IF(Coleta!$J93="","",Coleta!D93)</f>
        <v>A</v>
      </c>
      <c r="D93" s="16" t="str">
        <f>IF(Coleta!$J93="","",Coleta!E93)</f>
        <v>Normal</v>
      </c>
      <c r="E93" s="16">
        <f>IF(Coleta!$J93="","",Coleta!J93)</f>
        <v>3</v>
      </c>
      <c r="F93" s="16">
        <f>IF(Coleta!$J93="","",Coleta!K93)</f>
        <v>3</v>
      </c>
      <c r="G93" s="16">
        <f>IF(Coleta!$J93="","",Coleta!L93)</f>
        <v>7.333333333333333</v>
      </c>
      <c r="H93" s="16">
        <f>IF(Coleta!$J93="","",Coleta!M93)</f>
        <v>0</v>
      </c>
      <c r="I93" s="16">
        <f>IF(Coleta!$J93="","",Coleta!P93)</f>
        <v>9.5</v>
      </c>
      <c r="J93" s="16">
        <f>IF(Coleta!$J93="","",Coleta!Q93)</f>
        <v>0</v>
      </c>
      <c r="K93" s="16" t="str">
        <f>IF(Coleta!$J93="","",Coleta!C93)</f>
        <v>Probe-BR</v>
      </c>
    </row>
    <row r="94" spans="1:11" x14ac:dyDescent="0.3">
      <c r="A94" s="16" t="str">
        <f>IF(Coleta!$J94="","",Coleta!F94)</f>
        <v>2026-10-18T14:30:00Z</v>
      </c>
      <c r="B94" s="16" t="str">
        <f>IF(Coleta!$J94="","",Coleta!B94)</f>
        <v>Probe-BR|192.168.40.10</v>
      </c>
      <c r="C94" s="16" t="str">
        <f>IF(Coleta!$J94="","",Coleta!D94)</f>
        <v>A</v>
      </c>
      <c r="D94" s="16" t="str">
        <f>IF(Coleta!$J94="","",Coleta!E94)</f>
        <v>Normal</v>
      </c>
      <c r="E94" s="16">
        <f>IF(Coleta!$J94="","",Coleta!J94)</f>
        <v>3</v>
      </c>
      <c r="F94" s="16">
        <f>IF(Coleta!$J94="","",Coleta!K94)</f>
        <v>3</v>
      </c>
      <c r="G94" s="16">
        <f>IF(Coleta!$J94="","",Coleta!L94)</f>
        <v>7.666666666666667</v>
      </c>
      <c r="H94" s="16">
        <f>IF(Coleta!$J94="","",Coleta!M94)</f>
        <v>0</v>
      </c>
      <c r="I94" s="16">
        <f>IF(Coleta!$J94="","",Coleta!P94)</f>
        <v>10</v>
      </c>
      <c r="J94" s="16">
        <f>IF(Coleta!$J94="","",Coleta!Q94)</f>
        <v>0</v>
      </c>
      <c r="K94" s="16" t="str">
        <f>IF(Coleta!$J94="","",Coleta!C94)</f>
        <v>Probe-BR</v>
      </c>
    </row>
    <row r="95" spans="1:11" x14ac:dyDescent="0.3">
      <c r="A95" s="16" t="str">
        <f>IF(Coleta!$J95="","",Coleta!F95)</f>
        <v>2026-10-18T14:32:00Z</v>
      </c>
      <c r="B95" s="16" t="str">
        <f>IF(Coleta!$J95="","",Coleta!B95)</f>
        <v>Probe-BR|192.168.40.10</v>
      </c>
      <c r="C95" s="16" t="str">
        <f>IF(Coleta!$J95="","",Coleta!D95)</f>
        <v>A</v>
      </c>
      <c r="D95" s="16" t="str">
        <f>IF(Coleta!$J95="","",Coleta!E95)</f>
        <v>Normal</v>
      </c>
      <c r="E95" s="16">
        <f>IF(Coleta!$J95="","",Coleta!J95)</f>
        <v>3</v>
      </c>
      <c r="F95" s="16">
        <f>IF(Coleta!$J95="","",Coleta!K95)</f>
        <v>3</v>
      </c>
      <c r="G95" s="16">
        <f>IF(Coleta!$J95="","",Coleta!L95)</f>
        <v>23.333333333333332</v>
      </c>
      <c r="H95" s="16">
        <f>IF(Coleta!$J95="","",Coleta!M95)</f>
        <v>0</v>
      </c>
      <c r="I95" s="16">
        <f>IF(Coleta!$J95="","",Coleta!P95)</f>
        <v>10.5</v>
      </c>
      <c r="J95" s="16">
        <f>IF(Coleta!$J95="","",Coleta!Q95)</f>
        <v>0</v>
      </c>
      <c r="K95" s="16" t="str">
        <f>IF(Coleta!$J95="","",Coleta!C95)</f>
        <v>Probe-BR</v>
      </c>
    </row>
    <row r="96" spans="1:11" x14ac:dyDescent="0.3">
      <c r="A96" s="16" t="str">
        <f>IF(Coleta!$J96="","",Coleta!F96)</f>
        <v>2026-10-18T14:33:00Z</v>
      </c>
      <c r="B96" s="16" t="str">
        <f>IF(Coleta!$J96="","",Coleta!B96)</f>
        <v>Probe-BR|192.168.40.10</v>
      </c>
      <c r="C96" s="16" t="str">
        <f>IF(Coleta!$J96="","",Coleta!D96)</f>
        <v>A</v>
      </c>
      <c r="D96" s="16" t="str">
        <f>IF(Coleta!$J96="","",Coleta!E96)</f>
        <v>Normal</v>
      </c>
      <c r="E96" s="16">
        <f>IF(Coleta!$J96="","",Coleta!J96)</f>
        <v>3</v>
      </c>
      <c r="F96" s="16">
        <f>IF(Coleta!$J96="","",Coleta!K96)</f>
        <v>3</v>
      </c>
      <c r="G96" s="16">
        <f>IF(Coleta!$J96="","",Coleta!L96)</f>
        <v>1</v>
      </c>
      <c r="H96" s="16">
        <f>IF(Coleta!$J96="","",Coleta!M96)</f>
        <v>0</v>
      </c>
      <c r="I96" s="16">
        <f>IF(Coleta!$J96="","",Coleta!P96)</f>
        <v>0</v>
      </c>
      <c r="J96" s="16">
        <f>IF(Coleta!$J96="","",Coleta!Q96)</f>
        <v>0</v>
      </c>
      <c r="K96" s="16" t="str">
        <f>IF(Coleta!$J96="","",Coleta!C96)</f>
        <v>Probe-BR</v>
      </c>
    </row>
    <row r="97" spans="1:11" x14ac:dyDescent="0.3">
      <c r="A97" s="16" t="str">
        <f>IF(Coleta!$J97="","",Coleta!F97)</f>
        <v>2026-10-18T14:35:00Z</v>
      </c>
      <c r="B97" s="16" t="str">
        <f>IF(Coleta!$J97="","",Coleta!B97)</f>
        <v>Probe-BR|192.168.40.10</v>
      </c>
      <c r="C97" s="16" t="str">
        <f>IF(Coleta!$J97="","",Coleta!D97)</f>
        <v>A</v>
      </c>
      <c r="D97" s="16" t="str">
        <f>IF(Coleta!$J97="","",Coleta!E97)</f>
        <v>Normal</v>
      </c>
      <c r="E97" s="16">
        <f>IF(Coleta!$J97="","",Coleta!J97)</f>
        <v>3</v>
      </c>
      <c r="F97" s="16">
        <f>IF(Coleta!$J97="","",Coleta!K97)</f>
        <v>3</v>
      </c>
      <c r="G97" s="16">
        <f>IF(Coleta!$J97="","",Coleta!L97)</f>
        <v>21</v>
      </c>
      <c r="H97" s="16">
        <f>IF(Coleta!$J97="","",Coleta!M97)</f>
        <v>0</v>
      </c>
      <c r="I97" s="16">
        <f>IF(Coleta!$J97="","",Coleta!P97)</f>
        <v>27</v>
      </c>
      <c r="J97" s="16">
        <f>IF(Coleta!$J97="","",Coleta!Q97)</f>
        <v>0</v>
      </c>
      <c r="K97" s="16" t="str">
        <f>IF(Coleta!$J97="","",Coleta!C97)</f>
        <v>Probe-BR</v>
      </c>
    </row>
    <row r="98" spans="1:11" x14ac:dyDescent="0.3">
      <c r="A98" s="16" t="str">
        <f>IF(Coleta!$J98="","",Coleta!F98)</f>
        <v>2026-10-18T14:36:00Z</v>
      </c>
      <c r="B98" s="16" t="str">
        <f>IF(Coleta!$J98="","",Coleta!B98)</f>
        <v>Probe-BR|192.168.40.10</v>
      </c>
      <c r="C98" s="16" t="str">
        <f>IF(Coleta!$J98="","",Coleta!D98)</f>
        <v>A</v>
      </c>
      <c r="D98" s="16" t="str">
        <f>IF(Coleta!$J98="","",Coleta!E98)</f>
        <v>Normal</v>
      </c>
      <c r="E98" s="16">
        <f>IF(Coleta!$J98="","",Coleta!J98)</f>
        <v>3</v>
      </c>
      <c r="F98" s="16">
        <f>IF(Coleta!$J98="","",Coleta!K98)</f>
        <v>3</v>
      </c>
      <c r="G98" s="16">
        <f>IF(Coleta!$J98="","",Coleta!L98)</f>
        <v>4.666666666666667</v>
      </c>
      <c r="H98" s="16">
        <f>IF(Coleta!$J98="","",Coleta!M98)</f>
        <v>0</v>
      </c>
      <c r="I98" s="16">
        <f>IF(Coleta!$J98="","",Coleta!P98)</f>
        <v>11</v>
      </c>
      <c r="J98" s="16">
        <f>IF(Coleta!$J98="","",Coleta!Q98)</f>
        <v>0</v>
      </c>
      <c r="K98" s="16" t="str">
        <f>IF(Coleta!$J98="","",Coleta!C98)</f>
        <v>Probe-BR</v>
      </c>
    </row>
    <row r="99" spans="1:11" x14ac:dyDescent="0.3">
      <c r="A99" s="16" t="str">
        <f>IF(Coleta!$J99="","",Coleta!F99)</f>
        <v>2026-10-18T14:37:00Z</v>
      </c>
      <c r="B99" s="16" t="str">
        <f>IF(Coleta!$J99="","",Coleta!B99)</f>
        <v>Probe-BR|192.168.40.10</v>
      </c>
      <c r="C99" s="16" t="str">
        <f>IF(Coleta!$J99="","",Coleta!D99)</f>
        <v>A</v>
      </c>
      <c r="D99" s="16" t="str">
        <f>IF(Coleta!$J99="","",Coleta!E99)</f>
        <v>Normal</v>
      </c>
      <c r="E99" s="16">
        <f>IF(Coleta!$J99="","",Coleta!J99)</f>
        <v>3</v>
      </c>
      <c r="F99" s="16">
        <f>IF(Coleta!$J99="","",Coleta!K99)</f>
        <v>3</v>
      </c>
      <c r="G99" s="16">
        <f>IF(Coleta!$J99="","",Coleta!L99)</f>
        <v>7.666666666666667</v>
      </c>
      <c r="H99" s="16">
        <f>IF(Coleta!$J99="","",Coleta!M99)</f>
        <v>0</v>
      </c>
      <c r="I99" s="16">
        <f>IF(Coleta!$J99="","",Coleta!P99)</f>
        <v>10</v>
      </c>
      <c r="J99" s="16">
        <f>IF(Coleta!$J99="","",Coleta!Q99)</f>
        <v>0</v>
      </c>
      <c r="K99" s="16" t="str">
        <f>IF(Coleta!$J99="","",Coleta!C99)</f>
        <v>Probe-BR</v>
      </c>
    </row>
    <row r="100" spans="1:11" x14ac:dyDescent="0.3">
      <c r="A100" s="16" t="str">
        <f>IF(Coleta!$J100="","",Coleta!F100)</f>
        <v>2026-10-18T14:38:00Z</v>
      </c>
      <c r="B100" s="16" t="str">
        <f>IF(Coleta!$J100="","",Coleta!B100)</f>
        <v>Probe-BR|192.168.40.10</v>
      </c>
      <c r="C100" s="16" t="str">
        <f>IF(Coleta!$J100="","",Coleta!D100)</f>
        <v>A</v>
      </c>
      <c r="D100" s="16" t="str">
        <f>IF(Coleta!$J100="","",Coleta!E100)</f>
        <v>Normal</v>
      </c>
      <c r="E100" s="16">
        <f>IF(Coleta!$J100="","",Coleta!J100)</f>
        <v>3</v>
      </c>
      <c r="F100" s="16">
        <f>IF(Coleta!$J100="","",Coleta!K100)</f>
        <v>3</v>
      </c>
      <c r="G100" s="16">
        <f>IF(Coleta!$J100="","",Coleta!L100)</f>
        <v>1.3333333333333333</v>
      </c>
      <c r="H100" s="16">
        <f>IF(Coleta!$J100="","",Coleta!M100)</f>
        <v>0</v>
      </c>
      <c r="I100" s="16">
        <f>IF(Coleta!$J100="","",Coleta!P100)</f>
        <v>1</v>
      </c>
      <c r="J100" s="16">
        <f>IF(Coleta!$J100="","",Coleta!Q100)</f>
        <v>0</v>
      </c>
      <c r="K100" s="16" t="str">
        <f>IF(Coleta!$J100="","",Coleta!C100)</f>
        <v>Probe-BR</v>
      </c>
    </row>
    <row r="101" spans="1:11" x14ac:dyDescent="0.3">
      <c r="A101" s="16" t="str">
        <f>IF(Coleta!$J101="","",Coleta!F101)</f>
        <v>2026-10-18T14:42:00Z</v>
      </c>
      <c r="B101" s="16" t="str">
        <f>IF(Coleta!$J101="","",Coleta!B101)</f>
        <v>Probe-BR|192.168.40.10</v>
      </c>
      <c r="C101" s="16" t="str">
        <f>IF(Coleta!$J101="","",Coleta!D101)</f>
        <v>A</v>
      </c>
      <c r="D101" s="16" t="str">
        <f>IF(Coleta!$J101="","",Coleta!E101)</f>
        <v>Normal</v>
      </c>
      <c r="E101" s="16">
        <f>IF(Coleta!$J101="","",Coleta!J101)</f>
        <v>3</v>
      </c>
      <c r="F101" s="16">
        <f>IF(Coleta!$J101="","",Coleta!K101)</f>
        <v>3</v>
      </c>
      <c r="G101" s="16">
        <f>IF(Coleta!$J101="","",Coleta!L101)</f>
        <v>8</v>
      </c>
      <c r="H101" s="16">
        <f>IF(Coleta!$J101="","",Coleta!M101)</f>
        <v>0</v>
      </c>
      <c r="I101" s="16">
        <f>IF(Coleta!$J101="","",Coleta!P101)</f>
        <v>9</v>
      </c>
      <c r="J101" s="16">
        <f>IF(Coleta!$J101="","",Coleta!Q101)</f>
        <v>0</v>
      </c>
      <c r="K101" s="16" t="str">
        <f>IF(Coleta!$J101="","",Coleta!C101)</f>
        <v>Probe-BR</v>
      </c>
    </row>
    <row r="102" spans="1:11" x14ac:dyDescent="0.3">
      <c r="A102" s="16" t="str">
        <f>IF(Coleta!$J102="","",Coleta!F102)</f>
        <v>2026-10-18T14:46:00Z</v>
      </c>
      <c r="B102" s="16" t="str">
        <f>IF(Coleta!$J102="","",Coleta!B102)</f>
        <v>Probe-BR|192.168.30.10</v>
      </c>
      <c r="C102" s="16" t="str">
        <f>IF(Coleta!$J102="","",Coleta!D102)</f>
        <v>A</v>
      </c>
      <c r="D102" s="16" t="str">
        <f>IF(Coleta!$J102="","",Coleta!E102)</f>
        <v>Normal</v>
      </c>
      <c r="E102" s="16">
        <f>IF(Coleta!$J102="","",Coleta!J102)</f>
        <v>3</v>
      </c>
      <c r="F102" s="16">
        <f>IF(Coleta!$J102="","",Coleta!K102)</f>
        <v>2</v>
      </c>
      <c r="G102" s="16">
        <f>IF(Coleta!$J102="","",Coleta!L102)</f>
        <v>10.5</v>
      </c>
      <c r="H102" s="16">
        <f>IF(Coleta!$J102="","",Coleta!M102)</f>
        <v>33.333333333333329</v>
      </c>
      <c r="I102" s="16">
        <f>IF(Coleta!$J102="","",Coleta!P102)</f>
        <v>19</v>
      </c>
      <c r="J102" s="16">
        <f>IF(Coleta!$J102="","",Coleta!Q102)</f>
        <v>0</v>
      </c>
      <c r="K102" s="16" t="str">
        <f>IF(Coleta!$J102="","",Coleta!C102)</f>
        <v>Probe-BR</v>
      </c>
    </row>
    <row r="103" spans="1:11" x14ac:dyDescent="0.3">
      <c r="A103" s="16" t="str">
        <f>IF(Coleta!$J103="","",Coleta!F103)</f>
        <v>2026-10-18T14:47:00Z</v>
      </c>
      <c r="B103" s="16" t="str">
        <f>IF(Coleta!$J103="","",Coleta!B103)</f>
        <v>Probe-BR|192.168.30.10</v>
      </c>
      <c r="C103" s="16" t="str">
        <f>IF(Coleta!$J103="","",Coleta!D103)</f>
        <v>A</v>
      </c>
      <c r="D103" s="16" t="str">
        <f>IF(Coleta!$J103="","",Coleta!E103)</f>
        <v>Normal</v>
      </c>
      <c r="E103" s="16">
        <f>IF(Coleta!$J103="","",Coleta!J103)</f>
        <v>3</v>
      </c>
      <c r="F103" s="16">
        <f>IF(Coleta!$J103="","",Coleta!K103)</f>
        <v>3</v>
      </c>
      <c r="G103" s="16">
        <f>IF(Coleta!$J103="","",Coleta!L103)</f>
        <v>7</v>
      </c>
      <c r="H103" s="16">
        <f>IF(Coleta!$J103="","",Coleta!M103)</f>
        <v>0</v>
      </c>
      <c r="I103" s="16">
        <f>IF(Coleta!$J103="","",Coleta!P103)</f>
        <v>9</v>
      </c>
      <c r="J103" s="16">
        <f>IF(Coleta!$J103="","",Coleta!Q103)</f>
        <v>0</v>
      </c>
      <c r="K103" s="16" t="str">
        <f>IF(Coleta!$J103="","",Coleta!C103)</f>
        <v>Probe-BR</v>
      </c>
    </row>
    <row r="104" spans="1:11" x14ac:dyDescent="0.3">
      <c r="A104" s="16" t="str">
        <f>IF(Coleta!$J104="","",Coleta!F104)</f>
        <v>2026-10-18T14:48:00Z</v>
      </c>
      <c r="B104" s="16" t="str">
        <f>IF(Coleta!$J104="","",Coleta!B104)</f>
        <v>Probe-BR|192.168.30.10</v>
      </c>
      <c r="C104" s="16" t="str">
        <f>IF(Coleta!$J104="","",Coleta!D104)</f>
        <v>A</v>
      </c>
      <c r="D104" s="16" t="str">
        <f>IF(Coleta!$J104="","",Coleta!E104)</f>
        <v>Normal</v>
      </c>
      <c r="E104" s="16">
        <f>IF(Coleta!$J104="","",Coleta!J104)</f>
        <v>3</v>
      </c>
      <c r="F104" s="16">
        <f>IF(Coleta!$J104="","",Coleta!K104)</f>
        <v>3</v>
      </c>
      <c r="G104" s="16">
        <f>IF(Coleta!$J104="","",Coleta!L104)</f>
        <v>1</v>
      </c>
      <c r="H104" s="16">
        <f>IF(Coleta!$J104="","",Coleta!M104)</f>
        <v>0</v>
      </c>
      <c r="I104" s="16">
        <f>IF(Coleta!$J104="","",Coleta!P104)</f>
        <v>0</v>
      </c>
      <c r="J104" s="16">
        <f>IF(Coleta!$J104="","",Coleta!Q104)</f>
        <v>0</v>
      </c>
      <c r="K104" s="16" t="str">
        <f>IF(Coleta!$J104="","",Coleta!C104)</f>
        <v>Probe-BR</v>
      </c>
    </row>
    <row r="105" spans="1:11" x14ac:dyDescent="0.3">
      <c r="A105" s="16" t="str">
        <f>IF(Coleta!$J105="","",Coleta!F105)</f>
        <v>2026-10-18T14:49:00Z</v>
      </c>
      <c r="B105" s="16" t="str">
        <f>IF(Coleta!$J105="","",Coleta!B105)</f>
        <v>Probe-BR|192.168.30.10</v>
      </c>
      <c r="C105" s="16" t="str">
        <f>IF(Coleta!$J105="","",Coleta!D105)</f>
        <v>A</v>
      </c>
      <c r="D105" s="16" t="str">
        <f>IF(Coleta!$J105="","",Coleta!E105)</f>
        <v>Normal</v>
      </c>
      <c r="E105" s="16">
        <f>IF(Coleta!$J105="","",Coleta!J105)</f>
        <v>3</v>
      </c>
      <c r="F105" s="16">
        <f>IF(Coleta!$J105="","",Coleta!K105)</f>
        <v>3</v>
      </c>
      <c r="G105" s="16">
        <f>IF(Coleta!$J105="","",Coleta!L105)</f>
        <v>11.333333333333334</v>
      </c>
      <c r="H105" s="16">
        <f>IF(Coleta!$J105="","",Coleta!M105)</f>
        <v>0</v>
      </c>
      <c r="I105" s="16">
        <f>IF(Coleta!$J105="","",Coleta!P105)</f>
        <v>14</v>
      </c>
      <c r="J105" s="16">
        <f>IF(Coleta!$J105="","",Coleta!Q105)</f>
        <v>0</v>
      </c>
      <c r="K105" s="16" t="str">
        <f>IF(Coleta!$J105="","",Coleta!C105)</f>
        <v>Probe-BR</v>
      </c>
    </row>
    <row r="106" spans="1:11" x14ac:dyDescent="0.3">
      <c r="A106" s="16" t="str">
        <f>IF(Coleta!$J106="","",Coleta!F106)</f>
        <v>2026-10-18T14:51:00Z</v>
      </c>
      <c r="B106" s="16" t="str">
        <f>IF(Coleta!$J106="","",Coleta!B106)</f>
        <v>Probe-BR|192.168.30.10</v>
      </c>
      <c r="C106" s="16" t="str">
        <f>IF(Coleta!$J106="","",Coleta!D106)</f>
        <v>A</v>
      </c>
      <c r="D106" s="16" t="str">
        <f>IF(Coleta!$J106="","",Coleta!E106)</f>
        <v>Normal</v>
      </c>
      <c r="E106" s="16">
        <f>IF(Coleta!$J106="","",Coleta!J106)</f>
        <v>3</v>
      </c>
      <c r="F106" s="16">
        <f>IF(Coleta!$J106="","",Coleta!K106)</f>
        <v>3</v>
      </c>
      <c r="G106" s="16">
        <f>IF(Coleta!$J106="","",Coleta!L106)</f>
        <v>10</v>
      </c>
      <c r="H106" s="16">
        <f>IF(Coleta!$J106="","",Coleta!M106)</f>
        <v>0</v>
      </c>
      <c r="I106" s="16">
        <f>IF(Coleta!$J106="","",Coleta!P106)</f>
        <v>13.5</v>
      </c>
      <c r="J106" s="16">
        <f>IF(Coleta!$J106="","",Coleta!Q106)</f>
        <v>0</v>
      </c>
      <c r="K106" s="16" t="str">
        <f>IF(Coleta!$J106="","",Coleta!C106)</f>
        <v>Probe-BR</v>
      </c>
    </row>
    <row r="107" spans="1:11" x14ac:dyDescent="0.3">
      <c r="A107" s="16" t="str">
        <f>IF(Coleta!$J107="","",Coleta!F107)</f>
        <v>2026-10-18T14:52:00Z</v>
      </c>
      <c r="B107" s="16" t="str">
        <f>IF(Coleta!$J107="","",Coleta!B107)</f>
        <v>Probe-BR|192.168.30.10</v>
      </c>
      <c r="C107" s="16" t="str">
        <f>IF(Coleta!$J107="","",Coleta!D107)</f>
        <v>A</v>
      </c>
      <c r="D107" s="16" t="str">
        <f>IF(Coleta!$J107="","",Coleta!E107)</f>
        <v>Normal</v>
      </c>
      <c r="E107" s="16">
        <f>IF(Coleta!$J107="","",Coleta!J107)</f>
        <v>3</v>
      </c>
      <c r="F107" s="16">
        <f>IF(Coleta!$J107="","",Coleta!K107)</f>
        <v>3</v>
      </c>
      <c r="G107" s="16">
        <f>IF(Coleta!$J107="","",Coleta!L107)</f>
        <v>11</v>
      </c>
      <c r="H107" s="16">
        <f>IF(Coleta!$J107="","",Coleta!M107)</f>
        <v>0</v>
      </c>
      <c r="I107" s="16">
        <f>IF(Coleta!$J107="","",Coleta!P107)</f>
        <v>9.5</v>
      </c>
      <c r="J107" s="16">
        <f>IF(Coleta!$J107="","",Coleta!Q107)</f>
        <v>0</v>
      </c>
      <c r="K107" s="16" t="str">
        <f>IF(Coleta!$J107="","",Coleta!C107)</f>
        <v>Probe-BR</v>
      </c>
    </row>
    <row r="108" spans="1:11" x14ac:dyDescent="0.3">
      <c r="A108" s="16" t="str">
        <f>IF(Coleta!$J108="","",Coleta!F108)</f>
        <v>2026-10-18T14:53:00Z</v>
      </c>
      <c r="B108" s="16" t="str">
        <f>IF(Coleta!$J108="","",Coleta!B108)</f>
        <v>Probe-BR|192.168.30.10</v>
      </c>
      <c r="C108" s="16" t="str">
        <f>IF(Coleta!$J108="","",Coleta!D108)</f>
        <v>A</v>
      </c>
      <c r="D108" s="16" t="str">
        <f>IF(Coleta!$J108="","",Coleta!E108)</f>
        <v>Normal</v>
      </c>
      <c r="E108" s="16">
        <f>IF(Coleta!$J108="","",Coleta!J108)</f>
        <v>3</v>
      </c>
      <c r="F108" s="16">
        <f>IF(Coleta!$J108="","",Coleta!K108)</f>
        <v>3</v>
      </c>
      <c r="G108" s="16">
        <f>IF(Coleta!$J108="","",Coleta!L108)</f>
        <v>7.666666666666667</v>
      </c>
      <c r="H108" s="16">
        <f>IF(Coleta!$J108="","",Coleta!M108)</f>
        <v>0</v>
      </c>
      <c r="I108" s="16">
        <f>IF(Coleta!$J108="","",Coleta!P108)</f>
        <v>10</v>
      </c>
      <c r="J108" s="16">
        <f>IF(Coleta!$J108="","",Coleta!Q108)</f>
        <v>0</v>
      </c>
      <c r="K108" s="16" t="str">
        <f>IF(Coleta!$J108="","",Coleta!C108)</f>
        <v>Probe-BR</v>
      </c>
    </row>
    <row r="109" spans="1:11" x14ac:dyDescent="0.3">
      <c r="A109" s="16" t="str">
        <f>IF(Coleta!$J109="","",Coleta!F109)</f>
        <v>2026-10-18T14:54:00Z</v>
      </c>
      <c r="B109" s="16" t="str">
        <f>IF(Coleta!$J109="","",Coleta!B109)</f>
        <v>Probe-BR|192.168.30.10</v>
      </c>
      <c r="C109" s="16" t="str">
        <f>IF(Coleta!$J109="","",Coleta!D109)</f>
        <v>A</v>
      </c>
      <c r="D109" s="16" t="str">
        <f>IF(Coleta!$J109="","",Coleta!E109)</f>
        <v>Normal</v>
      </c>
      <c r="E109" s="16">
        <f>IF(Coleta!$J109="","",Coleta!J109)</f>
        <v>3</v>
      </c>
      <c r="F109" s="16">
        <f>IF(Coleta!$J109="","",Coleta!K109)</f>
        <v>3</v>
      </c>
      <c r="G109" s="16">
        <f>IF(Coleta!$J109="","",Coleta!L109)</f>
        <v>4.666666666666667</v>
      </c>
      <c r="H109" s="16">
        <f>IF(Coleta!$J109="","",Coleta!M109)</f>
        <v>0</v>
      </c>
      <c r="I109" s="16">
        <f>IF(Coleta!$J109="","",Coleta!P109)</f>
        <v>5.5</v>
      </c>
      <c r="J109" s="16">
        <f>IF(Coleta!$J109="","",Coleta!Q109)</f>
        <v>0</v>
      </c>
      <c r="K109" s="16" t="str">
        <f>IF(Coleta!$J109="","",Coleta!C109)</f>
        <v>Probe-BR</v>
      </c>
    </row>
    <row r="110" spans="1:11" x14ac:dyDescent="0.3">
      <c r="A110" s="16" t="str">
        <f>IF(Coleta!$J110="","",Coleta!F110)</f>
        <v>2026-10-18T14:56:00Z</v>
      </c>
      <c r="B110" s="16" t="str">
        <f>IF(Coleta!$J110="","",Coleta!B110)</f>
        <v>Probe-BR|192.168.30.10</v>
      </c>
      <c r="C110" s="16" t="str">
        <f>IF(Coleta!$J110="","",Coleta!D110)</f>
        <v>A</v>
      </c>
      <c r="D110" s="16" t="str">
        <f>IF(Coleta!$J110="","",Coleta!E110)</f>
        <v>Normal</v>
      </c>
      <c r="E110" s="16">
        <f>IF(Coleta!$J110="","",Coleta!J110)</f>
        <v>3</v>
      </c>
      <c r="F110" s="16">
        <f>IF(Coleta!$J110="","",Coleta!K110)</f>
        <v>3</v>
      </c>
      <c r="G110" s="16">
        <f>IF(Coleta!$J110="","",Coleta!L110)</f>
        <v>6</v>
      </c>
      <c r="H110" s="16">
        <f>IF(Coleta!$J110="","",Coleta!M110)</f>
        <v>0</v>
      </c>
      <c r="I110" s="16">
        <f>IF(Coleta!$J110="","",Coleta!P110)</f>
        <v>6.5</v>
      </c>
      <c r="J110" s="16">
        <f>IF(Coleta!$J110="","",Coleta!Q110)</f>
        <v>0</v>
      </c>
      <c r="K110" s="16" t="str">
        <f>IF(Coleta!$J110="","",Coleta!C110)</f>
        <v>Probe-BR</v>
      </c>
    </row>
    <row r="111" spans="1:11" x14ac:dyDescent="0.3">
      <c r="A111" s="16" t="str">
        <f>IF(Coleta!$J111="","",Coleta!F111)</f>
        <v>2026-10-18T14:57:00Z</v>
      </c>
      <c r="B111" s="16" t="str">
        <f>IF(Coleta!$J111="","",Coleta!B111)</f>
        <v>Probe-BR|192.168.30.10</v>
      </c>
      <c r="C111" s="16" t="str">
        <f>IF(Coleta!$J111="","",Coleta!D111)</f>
        <v>A</v>
      </c>
      <c r="D111" s="16" t="str">
        <f>IF(Coleta!$J111="","",Coleta!E111)</f>
        <v>Normal</v>
      </c>
      <c r="E111" s="16">
        <f>IF(Coleta!$J111="","",Coleta!J111)</f>
        <v>3</v>
      </c>
      <c r="F111" s="16">
        <f>IF(Coleta!$J111="","",Coleta!K111)</f>
        <v>3</v>
      </c>
      <c r="G111" s="16">
        <f>IF(Coleta!$J111="","",Coleta!L111)</f>
        <v>9.6666666666666661</v>
      </c>
      <c r="H111" s="16">
        <f>IF(Coleta!$J111="","",Coleta!M111)</f>
        <v>0</v>
      </c>
      <c r="I111" s="16">
        <f>IF(Coleta!$J111="","",Coleta!P111)</f>
        <v>10</v>
      </c>
      <c r="J111" s="16">
        <f>IF(Coleta!$J111="","",Coleta!Q111)</f>
        <v>0</v>
      </c>
      <c r="K111" s="16" t="str">
        <f>IF(Coleta!$J111="","",Coleta!C111)</f>
        <v>Probe-BR</v>
      </c>
    </row>
    <row r="112" spans="1:11" x14ac:dyDescent="0.3">
      <c r="A112" s="16" t="str">
        <f>IF(Coleta!$J112="","",Coleta!F112)</f>
        <v>2026-10-18T14:59:00Z</v>
      </c>
      <c r="B112" s="16" t="str">
        <f>IF(Coleta!$J112="","",Coleta!B112)</f>
        <v>Probe-BR|192.168.30.10</v>
      </c>
      <c r="C112" s="16" t="str">
        <f>IF(Coleta!$J112="","",Coleta!D112)</f>
        <v>A</v>
      </c>
      <c r="D112" s="16" t="str">
        <f>IF(Coleta!$J112="","",Coleta!E112)</f>
        <v>Normal</v>
      </c>
      <c r="E112" s="16">
        <f>IF(Coleta!$J112="","",Coleta!J112)</f>
        <v>3</v>
      </c>
      <c r="F112" s="16">
        <f>IF(Coleta!$J112="","",Coleta!K112)</f>
        <v>3</v>
      </c>
      <c r="G112" s="16">
        <f>IF(Coleta!$J112="","",Coleta!L112)</f>
        <v>2.6666666666666665</v>
      </c>
      <c r="H112" s="16">
        <f>IF(Coleta!$J112="","",Coleta!M112)</f>
        <v>0</v>
      </c>
      <c r="I112" s="16">
        <f>IF(Coleta!$J112="","",Coleta!P112)</f>
        <v>1</v>
      </c>
      <c r="J112" s="16">
        <f>IF(Coleta!$J112="","",Coleta!Q112)</f>
        <v>0</v>
      </c>
      <c r="K112" s="16" t="str">
        <f>IF(Coleta!$J112="","",Coleta!C112)</f>
        <v>Probe-BR</v>
      </c>
    </row>
    <row r="113" spans="1:11" x14ac:dyDescent="0.3">
      <c r="A113" s="16" t="str">
        <f>IF(Coleta!$J113="","",Coleta!F113)</f>
        <v>2026-10-18T15:00:00Z</v>
      </c>
      <c r="B113" s="16" t="str">
        <f>IF(Coleta!$J113="","",Coleta!B113)</f>
        <v>Probe-BR|192.168.30.10</v>
      </c>
      <c r="C113" s="16" t="str">
        <f>IF(Coleta!$J113="","",Coleta!D113)</f>
        <v>A</v>
      </c>
      <c r="D113" s="16" t="str">
        <f>IF(Coleta!$J113="","",Coleta!E113)</f>
        <v>Normal</v>
      </c>
      <c r="E113" s="16">
        <f>IF(Coleta!$J113="","",Coleta!J113)</f>
        <v>3</v>
      </c>
      <c r="F113" s="16">
        <f>IF(Coleta!$J113="","",Coleta!K113)</f>
        <v>3</v>
      </c>
      <c r="G113" s="16">
        <f>IF(Coleta!$J113="","",Coleta!L113)</f>
        <v>8</v>
      </c>
      <c r="H113" s="16">
        <f>IF(Coleta!$J113="","",Coleta!M113)</f>
        <v>0</v>
      </c>
      <c r="I113" s="16">
        <f>IF(Coleta!$J113="","",Coleta!P113)</f>
        <v>12</v>
      </c>
      <c r="J113" s="16">
        <f>IF(Coleta!$J113="","",Coleta!Q113)</f>
        <v>0</v>
      </c>
      <c r="K113" s="16" t="str">
        <f>IF(Coleta!$J113="","",Coleta!C113)</f>
        <v>Probe-BR</v>
      </c>
    </row>
    <row r="114" spans="1:11" x14ac:dyDescent="0.3">
      <c r="A114" s="16" t="str">
        <f>IF(Coleta!$J114="","",Coleta!F114)</f>
        <v>2026-10-18T15:01:00Z</v>
      </c>
      <c r="B114" s="16" t="str">
        <f>IF(Coleta!$J114="","",Coleta!B114)</f>
        <v>Probe-BR|192.168.30.10</v>
      </c>
      <c r="C114" s="16" t="str">
        <f>IF(Coleta!$J114="","",Coleta!D114)</f>
        <v>A</v>
      </c>
      <c r="D114" s="16" t="str">
        <f>IF(Coleta!$J114="","",Coleta!E114)</f>
        <v>Normal</v>
      </c>
      <c r="E114" s="16">
        <f>IF(Coleta!$J114="","",Coleta!J114)</f>
        <v>3</v>
      </c>
      <c r="F114" s="16">
        <f>IF(Coleta!$J114="","",Coleta!K114)</f>
        <v>3</v>
      </c>
      <c r="G114" s="16">
        <f>IF(Coleta!$J114="","",Coleta!L114)</f>
        <v>10.666666666666666</v>
      </c>
      <c r="H114" s="16">
        <f>IF(Coleta!$J114="","",Coleta!M114)</f>
        <v>0</v>
      </c>
      <c r="I114" s="16">
        <f>IF(Coleta!$J114="","",Coleta!P114)</f>
        <v>9.5</v>
      </c>
      <c r="J114" s="16">
        <f>IF(Coleta!$J114="","",Coleta!Q114)</f>
        <v>0</v>
      </c>
      <c r="K114" s="16" t="str">
        <f>IF(Coleta!$J114="","",Coleta!C114)</f>
        <v>Probe-BR</v>
      </c>
    </row>
    <row r="115" spans="1:11" x14ac:dyDescent="0.3">
      <c r="A115" s="16" t="str">
        <f>IF(Coleta!$J115="","",Coleta!F115)</f>
        <v>2026-10-18T15:02:00Z</v>
      </c>
      <c r="B115" s="16" t="str">
        <f>IF(Coleta!$J115="","",Coleta!B115)</f>
        <v>Probe-BR|192.168.30.10</v>
      </c>
      <c r="C115" s="16" t="str">
        <f>IF(Coleta!$J115="","",Coleta!D115)</f>
        <v>A</v>
      </c>
      <c r="D115" s="16" t="str">
        <f>IF(Coleta!$J115="","",Coleta!E115)</f>
        <v>Normal</v>
      </c>
      <c r="E115" s="16">
        <f>IF(Coleta!$J115="","",Coleta!J115)</f>
        <v>3</v>
      </c>
      <c r="F115" s="16">
        <f>IF(Coleta!$J115="","",Coleta!K115)</f>
        <v>3</v>
      </c>
      <c r="G115" s="16">
        <f>IF(Coleta!$J115="","",Coleta!L115)</f>
        <v>11</v>
      </c>
      <c r="H115" s="16">
        <f>IF(Coleta!$J115="","",Coleta!M115)</f>
        <v>0</v>
      </c>
      <c r="I115" s="16">
        <f>IF(Coleta!$J115="","",Coleta!P115)</f>
        <v>15</v>
      </c>
      <c r="J115" s="16">
        <f>IF(Coleta!$J115="","",Coleta!Q115)</f>
        <v>0</v>
      </c>
      <c r="K115" s="16" t="str">
        <f>IF(Coleta!$J115="","",Coleta!C115)</f>
        <v>Probe-BR</v>
      </c>
    </row>
    <row r="116" spans="1:11" x14ac:dyDescent="0.3">
      <c r="A116" s="16" t="str">
        <f>IF(Coleta!$J116="","",Coleta!F116)</f>
        <v>2026-10-18T15:03:00Z</v>
      </c>
      <c r="B116" s="16" t="str">
        <f>IF(Coleta!$J116="","",Coleta!B116)</f>
        <v>Probe-BR|192.168.30.10</v>
      </c>
      <c r="C116" s="16" t="str">
        <f>IF(Coleta!$J116="","",Coleta!D116)</f>
        <v>A</v>
      </c>
      <c r="D116" s="16" t="str">
        <f>IF(Coleta!$J116="","",Coleta!E116)</f>
        <v>Normal</v>
      </c>
      <c r="E116" s="16">
        <f>IF(Coleta!$J116="","",Coleta!J116)</f>
        <v>3</v>
      </c>
      <c r="F116" s="16">
        <f>IF(Coleta!$J116="","",Coleta!K116)</f>
        <v>3</v>
      </c>
      <c r="G116" s="16">
        <f>IF(Coleta!$J116="","",Coleta!L116)</f>
        <v>9</v>
      </c>
      <c r="H116" s="16">
        <f>IF(Coleta!$J116="","",Coleta!M116)</f>
        <v>0</v>
      </c>
      <c r="I116" s="16">
        <f>IF(Coleta!$J116="","",Coleta!P116)</f>
        <v>12</v>
      </c>
      <c r="J116" s="16">
        <f>IF(Coleta!$J116="","",Coleta!Q116)</f>
        <v>0</v>
      </c>
      <c r="K116" s="16" t="str">
        <f>IF(Coleta!$J116="","",Coleta!C116)</f>
        <v>Probe-BR</v>
      </c>
    </row>
    <row r="117" spans="1:11" x14ac:dyDescent="0.3">
      <c r="A117" s="16" t="str">
        <f>IF(Coleta!$J117="","",Coleta!F117)</f>
        <v>2026-10-18T15:05:00Z</v>
      </c>
      <c r="B117" s="16" t="str">
        <f>IF(Coleta!$J117="","",Coleta!B117)</f>
        <v>Probe-BR|192.168.30.10</v>
      </c>
      <c r="C117" s="16" t="str">
        <f>IF(Coleta!$J117="","",Coleta!D117)</f>
        <v>A</v>
      </c>
      <c r="D117" s="16" t="str">
        <f>IF(Coleta!$J117="","",Coleta!E117)</f>
        <v>Normal</v>
      </c>
      <c r="E117" s="16">
        <f>IF(Coleta!$J117="","",Coleta!J117)</f>
        <v>3</v>
      </c>
      <c r="F117" s="16">
        <f>IF(Coleta!$J117="","",Coleta!K117)</f>
        <v>3</v>
      </c>
      <c r="G117" s="16">
        <f>IF(Coleta!$J117="","",Coleta!L117)</f>
        <v>6</v>
      </c>
      <c r="H117" s="16">
        <f>IF(Coleta!$J117="","",Coleta!M117)</f>
        <v>0</v>
      </c>
      <c r="I117" s="16">
        <f>IF(Coleta!$J117="","",Coleta!P117)</f>
        <v>7.5</v>
      </c>
      <c r="J117" s="16">
        <f>IF(Coleta!$J117="","",Coleta!Q117)</f>
        <v>0</v>
      </c>
      <c r="K117" s="16" t="str">
        <f>IF(Coleta!$J117="","",Coleta!C117)</f>
        <v>Probe-BR</v>
      </c>
    </row>
    <row r="118" spans="1:11" x14ac:dyDescent="0.3">
      <c r="A118" s="16" t="str">
        <f>IF(Coleta!$J118="","",Coleta!F118)</f>
        <v>2026-10-18T15:06:00Z</v>
      </c>
      <c r="B118" s="16" t="str">
        <f>IF(Coleta!$J118="","",Coleta!B118)</f>
        <v>Probe-BR|192.168.30.10</v>
      </c>
      <c r="C118" s="16" t="str">
        <f>IF(Coleta!$J118="","",Coleta!D118)</f>
        <v>A</v>
      </c>
      <c r="D118" s="16" t="str">
        <f>IF(Coleta!$J118="","",Coleta!E118)</f>
        <v>Normal</v>
      </c>
      <c r="E118" s="16">
        <f>IF(Coleta!$J118="","",Coleta!J118)</f>
        <v>3</v>
      </c>
      <c r="F118" s="16">
        <f>IF(Coleta!$J118="","",Coleta!K118)</f>
        <v>3</v>
      </c>
      <c r="G118" s="16">
        <f>IF(Coleta!$J118="","",Coleta!L118)</f>
        <v>1.3333333333333333</v>
      </c>
      <c r="H118" s="16">
        <f>IF(Coleta!$J118="","",Coleta!M118)</f>
        <v>0</v>
      </c>
      <c r="I118" s="16">
        <f>IF(Coleta!$J118="","",Coleta!P118)</f>
        <v>0.5</v>
      </c>
      <c r="J118" s="16">
        <f>IF(Coleta!$J118="","",Coleta!Q118)</f>
        <v>0</v>
      </c>
      <c r="K118" s="16" t="str">
        <f>IF(Coleta!$J118="","",Coleta!C118)</f>
        <v>Probe-BR</v>
      </c>
    </row>
    <row r="119" spans="1:11" x14ac:dyDescent="0.3">
      <c r="A119" s="16" t="str">
        <f>IF(Coleta!$J119="","",Coleta!F119)</f>
        <v>2026-10-18T15:07:00Z</v>
      </c>
      <c r="B119" s="16" t="str">
        <f>IF(Coleta!$J119="","",Coleta!B119)</f>
        <v>Probe-BR|192.168.30.10</v>
      </c>
      <c r="C119" s="16" t="str">
        <f>IF(Coleta!$J119="","",Coleta!D119)</f>
        <v>A</v>
      </c>
      <c r="D119" s="16" t="str">
        <f>IF(Coleta!$J119="","",Coleta!E119)</f>
        <v>Normal</v>
      </c>
      <c r="E119" s="16">
        <f>IF(Coleta!$J119="","",Coleta!J119)</f>
        <v>3</v>
      </c>
      <c r="F119" s="16">
        <f>IF(Coleta!$J119="","",Coleta!K119)</f>
        <v>3</v>
      </c>
      <c r="G119" s="16">
        <f>IF(Coleta!$J119="","",Coleta!L119)</f>
        <v>7.666666666666667</v>
      </c>
      <c r="H119" s="16">
        <f>IF(Coleta!$J119="","",Coleta!M119)</f>
        <v>0</v>
      </c>
      <c r="I119" s="16">
        <f>IF(Coleta!$J119="","",Coleta!P119)</f>
        <v>10</v>
      </c>
      <c r="J119" s="16">
        <f>IF(Coleta!$J119="","",Coleta!Q119)</f>
        <v>0</v>
      </c>
      <c r="K119" s="16" t="str">
        <f>IF(Coleta!$J119="","",Coleta!C119)</f>
        <v>Probe-BR</v>
      </c>
    </row>
    <row r="120" spans="1:11" x14ac:dyDescent="0.3">
      <c r="A120" s="16" t="str">
        <f>IF(Coleta!$J120="","",Coleta!F120)</f>
        <v>2026-10-18T15:08:00Z</v>
      </c>
      <c r="B120" s="16" t="str">
        <f>IF(Coleta!$J120="","",Coleta!B120)</f>
        <v>Probe-BR|192.168.30.10</v>
      </c>
      <c r="C120" s="16" t="str">
        <f>IF(Coleta!$J120="","",Coleta!D120)</f>
        <v>A</v>
      </c>
      <c r="D120" s="16" t="str">
        <f>IF(Coleta!$J120="","",Coleta!E120)</f>
        <v>Normal</v>
      </c>
      <c r="E120" s="16">
        <f>IF(Coleta!$J120="","",Coleta!J120)</f>
        <v>3</v>
      </c>
      <c r="F120" s="16">
        <f>IF(Coleta!$J120="","",Coleta!K120)</f>
        <v>3</v>
      </c>
      <c r="G120" s="16">
        <f>IF(Coleta!$J120="","",Coleta!L120)</f>
        <v>9.3333333333333339</v>
      </c>
      <c r="H120" s="16">
        <f>IF(Coleta!$J120="","",Coleta!M120)</f>
        <v>0</v>
      </c>
      <c r="I120" s="16">
        <f>IF(Coleta!$J120="","",Coleta!P120)</f>
        <v>10</v>
      </c>
      <c r="J120" s="16">
        <f>IF(Coleta!$J120="","",Coleta!Q120)</f>
        <v>0</v>
      </c>
      <c r="K120" s="16" t="str">
        <f>IF(Coleta!$J120="","",Coleta!C120)</f>
        <v>Probe-BR</v>
      </c>
    </row>
    <row r="121" spans="1:11" x14ac:dyDescent="0.3">
      <c r="A121" s="16" t="str">
        <f>IF(Coleta!$J121="","",Coleta!F121)</f>
        <v>2026-10-18T15:09:00Z</v>
      </c>
      <c r="B121" s="16" t="str">
        <f>IF(Coleta!$J121="","",Coleta!B121)</f>
        <v>Probe-BR|192.168.30.10</v>
      </c>
      <c r="C121" s="16" t="str">
        <f>IF(Coleta!$J121="","",Coleta!D121)</f>
        <v>A</v>
      </c>
      <c r="D121" s="16" t="str">
        <f>IF(Coleta!$J121="","",Coleta!E121)</f>
        <v>Normal</v>
      </c>
      <c r="E121" s="16">
        <f>IF(Coleta!$J121="","",Coleta!J121)</f>
        <v>3</v>
      </c>
      <c r="F121" s="16">
        <f>IF(Coleta!$J121="","",Coleta!K121)</f>
        <v>3</v>
      </c>
      <c r="G121" s="16">
        <f>IF(Coleta!$J121="","",Coleta!L121)</f>
        <v>8.6666666666666661</v>
      </c>
      <c r="H121" s="16">
        <f>IF(Coleta!$J121="","",Coleta!M121)</f>
        <v>0</v>
      </c>
      <c r="I121" s="16">
        <f>IF(Coleta!$J121="","",Coleta!P121)</f>
        <v>6</v>
      </c>
      <c r="J121" s="16">
        <f>IF(Coleta!$J121="","",Coleta!Q121)</f>
        <v>0</v>
      </c>
      <c r="K121" s="16" t="str">
        <f>IF(Coleta!$J121="","",Coleta!C121)</f>
        <v>Probe-BR</v>
      </c>
    </row>
    <row r="122" spans="1:11" x14ac:dyDescent="0.3">
      <c r="A122" s="16" t="str">
        <f>IF(Coleta!$J122="","",Coleta!F122)</f>
        <v>2026-10-18T15:13:00Z</v>
      </c>
      <c r="B122" s="16" t="str">
        <f>IF(Coleta!$J122="","",Coleta!B122)</f>
        <v>Probe-DE|192.168.20.10</v>
      </c>
      <c r="C122" s="16" t="str">
        <f>IF(Coleta!$J122="","",Coleta!D122)</f>
        <v>A</v>
      </c>
      <c r="D122" s="16" t="str">
        <f>IF(Coleta!$J122="","",Coleta!E122)</f>
        <v>Normal</v>
      </c>
      <c r="E122" s="16">
        <f>IF(Coleta!$J122="","",Coleta!J122)</f>
        <v>3</v>
      </c>
      <c r="F122" s="16">
        <f>IF(Coleta!$J122="","",Coleta!K122)</f>
        <v>3</v>
      </c>
      <c r="G122" s="16">
        <f>IF(Coleta!$J122="","",Coleta!L122)</f>
        <v>0.5</v>
      </c>
      <c r="H122" s="16">
        <f>IF(Coleta!$J122="","",Coleta!M122)</f>
        <v>0</v>
      </c>
      <c r="I122" s="16">
        <f>IF(Coleta!$J122="","",Coleta!P122)</f>
        <v>0</v>
      </c>
      <c r="J122" s="16">
        <f>IF(Coleta!$J122="","",Coleta!Q122)</f>
        <v>0</v>
      </c>
      <c r="K122" s="16" t="str">
        <f>IF(Coleta!$J122="","",Coleta!C122)</f>
        <v>Probe-DE</v>
      </c>
    </row>
    <row r="123" spans="1:11" x14ac:dyDescent="0.3">
      <c r="A123" s="16" t="str">
        <f>IF(Coleta!$J123="","",Coleta!F123)</f>
        <v>2026-10-18T15:17:00Z</v>
      </c>
      <c r="B123" s="16" t="str">
        <f>IF(Coleta!$J123="","",Coleta!B123)</f>
        <v>Probe-DE|192.168.20.10</v>
      </c>
      <c r="C123" s="16" t="str">
        <f>IF(Coleta!$J123="","",Coleta!D123)</f>
        <v>A</v>
      </c>
      <c r="D123" s="16" t="str">
        <f>IF(Coleta!$J123="","",Coleta!E123)</f>
        <v>Normal</v>
      </c>
      <c r="E123" s="16">
        <f>IF(Coleta!$J123="","",Coleta!J123)</f>
        <v>3</v>
      </c>
      <c r="F123" s="16">
        <f>IF(Coleta!$J123="","",Coleta!K123)</f>
        <v>3</v>
      </c>
      <c r="G123" s="16">
        <f>IF(Coleta!$J123="","",Coleta!L123)</f>
        <v>0.5</v>
      </c>
      <c r="H123" s="16">
        <f>IF(Coleta!$J123="","",Coleta!M123)</f>
        <v>0</v>
      </c>
      <c r="I123" s="16">
        <f>IF(Coleta!$J123="","",Coleta!P123)</f>
        <v>0</v>
      </c>
      <c r="J123" s="16">
        <f>IF(Coleta!$J123="","",Coleta!Q123)</f>
        <v>0</v>
      </c>
      <c r="K123" s="16" t="str">
        <f>IF(Coleta!$J123="","",Coleta!C123)</f>
        <v>Probe-DE</v>
      </c>
    </row>
    <row r="124" spans="1:11" x14ac:dyDescent="0.3">
      <c r="A124" s="16" t="str">
        <f>IF(Coleta!$J124="","",Coleta!F124)</f>
        <v>2026-10-18T15:18:00Z</v>
      </c>
      <c r="B124" s="16" t="str">
        <f>IF(Coleta!$J124="","",Coleta!B124)</f>
        <v>Probe-DE|192.168.20.10</v>
      </c>
      <c r="C124" s="16" t="str">
        <f>IF(Coleta!$J124="","",Coleta!D124)</f>
        <v>A</v>
      </c>
      <c r="D124" s="16" t="str">
        <f>IF(Coleta!$J124="","",Coleta!E124)</f>
        <v>Normal</v>
      </c>
      <c r="E124" s="16">
        <f>IF(Coleta!$J124="","",Coleta!J124)</f>
        <v>3</v>
      </c>
      <c r="F124" s="16">
        <f>IF(Coleta!$J124="","",Coleta!K124)</f>
        <v>3</v>
      </c>
      <c r="G124" s="16">
        <f>IF(Coleta!$J124="","",Coleta!L124)</f>
        <v>0.5</v>
      </c>
      <c r="H124" s="16">
        <f>IF(Coleta!$J124="","",Coleta!M124)</f>
        <v>0</v>
      </c>
      <c r="I124" s="16">
        <f>IF(Coleta!$J124="","",Coleta!P124)</f>
        <v>0</v>
      </c>
      <c r="J124" s="16">
        <f>IF(Coleta!$J124="","",Coleta!Q124)</f>
        <v>0</v>
      </c>
      <c r="K124" s="16" t="str">
        <f>IF(Coleta!$J124="","",Coleta!C124)</f>
        <v>Probe-DE</v>
      </c>
    </row>
    <row r="125" spans="1:11" x14ac:dyDescent="0.3">
      <c r="A125" s="16" t="str">
        <f>IF(Coleta!$J125="","",Coleta!F125)</f>
        <v>2026-10-18T15:19:00Z</v>
      </c>
      <c r="B125" s="16" t="str">
        <f>IF(Coleta!$J125="","",Coleta!B125)</f>
        <v>Probe-DE|192.168.20.10</v>
      </c>
      <c r="C125" s="16" t="str">
        <f>IF(Coleta!$J125="","",Coleta!D125)</f>
        <v>A</v>
      </c>
      <c r="D125" s="16" t="str">
        <f>IF(Coleta!$J125="","",Coleta!E125)</f>
        <v>Normal</v>
      </c>
      <c r="E125" s="16">
        <f>IF(Coleta!$J125="","",Coleta!J125)</f>
        <v>3</v>
      </c>
      <c r="F125" s="16">
        <f>IF(Coleta!$J125="","",Coleta!K125)</f>
        <v>3</v>
      </c>
      <c r="G125" s="16">
        <f>IF(Coleta!$J125="","",Coleta!L125)</f>
        <v>5</v>
      </c>
      <c r="H125" s="16">
        <f>IF(Coleta!$J125="","",Coleta!M125)</f>
        <v>0</v>
      </c>
      <c r="I125" s="16">
        <f>IF(Coleta!$J125="","",Coleta!P125)</f>
        <v>13.5</v>
      </c>
      <c r="J125" s="16">
        <f>IF(Coleta!$J125="","",Coleta!Q125)</f>
        <v>0</v>
      </c>
      <c r="K125" s="16" t="str">
        <f>IF(Coleta!$J125="","",Coleta!C125)</f>
        <v>Probe-DE</v>
      </c>
    </row>
    <row r="126" spans="1:11" x14ac:dyDescent="0.3">
      <c r="A126" s="16" t="str">
        <f>IF(Coleta!$J126="","",Coleta!F126)</f>
        <v>2026-10-18T15:20:00Z</v>
      </c>
      <c r="B126" s="16" t="str">
        <f>IF(Coleta!$J126="","",Coleta!B126)</f>
        <v>Probe-DE|192.168.20.10</v>
      </c>
      <c r="C126" s="16" t="str">
        <f>IF(Coleta!$J126="","",Coleta!D126)</f>
        <v>A</v>
      </c>
      <c r="D126" s="16" t="str">
        <f>IF(Coleta!$J126="","",Coleta!E126)</f>
        <v>Normal</v>
      </c>
      <c r="E126" s="16">
        <f>IF(Coleta!$J126="","",Coleta!J126)</f>
        <v>3</v>
      </c>
      <c r="F126" s="16">
        <f>IF(Coleta!$J126="","",Coleta!K126)</f>
        <v>3</v>
      </c>
      <c r="G126" s="16">
        <f>IF(Coleta!$J126="","",Coleta!L126)</f>
        <v>0.5</v>
      </c>
      <c r="H126" s="16">
        <f>IF(Coleta!$J126="","",Coleta!M126)</f>
        <v>0</v>
      </c>
      <c r="I126" s="16">
        <f>IF(Coleta!$J126="","",Coleta!P126)</f>
        <v>0</v>
      </c>
      <c r="J126" s="16">
        <f>IF(Coleta!$J126="","",Coleta!Q126)</f>
        <v>0</v>
      </c>
      <c r="K126" s="16" t="str">
        <f>IF(Coleta!$J126="","",Coleta!C126)</f>
        <v>Probe-DE</v>
      </c>
    </row>
    <row r="127" spans="1:11" x14ac:dyDescent="0.3">
      <c r="A127" s="16" t="str">
        <f>IF(Coleta!$J127="","",Coleta!F127)</f>
        <v>2026-10-18T15:21:00Z</v>
      </c>
      <c r="B127" s="16" t="str">
        <f>IF(Coleta!$J127="","",Coleta!B127)</f>
        <v>Probe-DE|192.168.20.10</v>
      </c>
      <c r="C127" s="16" t="str">
        <f>IF(Coleta!$J127="","",Coleta!D127)</f>
        <v>A</v>
      </c>
      <c r="D127" s="16" t="str">
        <f>IF(Coleta!$J127="","",Coleta!E127)</f>
        <v>Normal</v>
      </c>
      <c r="E127" s="16">
        <f>IF(Coleta!$J127="","",Coleta!J127)</f>
        <v>3</v>
      </c>
      <c r="F127" s="16">
        <f>IF(Coleta!$J127="","",Coleta!K127)</f>
        <v>3</v>
      </c>
      <c r="G127" s="16">
        <f>IF(Coleta!$J127="","",Coleta!L127)</f>
        <v>0.66666666666666663</v>
      </c>
      <c r="H127" s="16">
        <f>IF(Coleta!$J127="","",Coleta!M127)</f>
        <v>0</v>
      </c>
      <c r="I127" s="16">
        <f>IF(Coleta!$J127="","",Coleta!P127)</f>
        <v>0.5</v>
      </c>
      <c r="J127" s="16">
        <f>IF(Coleta!$J127="","",Coleta!Q127)</f>
        <v>0</v>
      </c>
      <c r="K127" s="16" t="str">
        <f>IF(Coleta!$J127="","",Coleta!C127)</f>
        <v>Probe-DE</v>
      </c>
    </row>
    <row r="128" spans="1:11" x14ac:dyDescent="0.3">
      <c r="A128" s="16" t="str">
        <f>IF(Coleta!$J128="","",Coleta!F128)</f>
        <v>2026-10-18T15:22:00Z</v>
      </c>
      <c r="B128" s="16" t="str">
        <f>IF(Coleta!$J128="","",Coleta!B128)</f>
        <v>Probe-DE|192.168.20.10</v>
      </c>
      <c r="C128" s="16" t="str">
        <f>IF(Coleta!$J128="","",Coleta!D128)</f>
        <v>A</v>
      </c>
      <c r="D128" s="16" t="str">
        <f>IF(Coleta!$J128="","",Coleta!E128)</f>
        <v>Normal</v>
      </c>
      <c r="E128" s="16">
        <f>IF(Coleta!$J128="","",Coleta!J128)</f>
        <v>3</v>
      </c>
      <c r="F128" s="16">
        <f>IF(Coleta!$J128="","",Coleta!K128)</f>
        <v>3</v>
      </c>
      <c r="G128" s="16">
        <f>IF(Coleta!$J128="","",Coleta!L128)</f>
        <v>0.5</v>
      </c>
      <c r="H128" s="16">
        <f>IF(Coleta!$J128="","",Coleta!M128)</f>
        <v>0</v>
      </c>
      <c r="I128" s="16">
        <f>IF(Coleta!$J128="","",Coleta!P128)</f>
        <v>0</v>
      </c>
      <c r="J128" s="16">
        <f>IF(Coleta!$J128="","",Coleta!Q128)</f>
        <v>0</v>
      </c>
      <c r="K128" s="16" t="str">
        <f>IF(Coleta!$J128="","",Coleta!C128)</f>
        <v>Probe-DE</v>
      </c>
    </row>
    <row r="129" spans="1:11" x14ac:dyDescent="0.3">
      <c r="A129" s="16" t="str">
        <f>IF(Coleta!$J129="","",Coleta!F129)</f>
        <v>2026-10-18T15:24:00Z</v>
      </c>
      <c r="B129" s="16" t="str">
        <f>IF(Coleta!$J129="","",Coleta!B129)</f>
        <v>Probe-DE|192.168.20.10</v>
      </c>
      <c r="C129" s="16" t="str">
        <f>IF(Coleta!$J129="","",Coleta!D129)</f>
        <v>A</v>
      </c>
      <c r="D129" s="16" t="str">
        <f>IF(Coleta!$J129="","",Coleta!E129)</f>
        <v>Normal</v>
      </c>
      <c r="E129" s="16">
        <f>IF(Coleta!$J129="","",Coleta!J129)</f>
        <v>3</v>
      </c>
      <c r="F129" s="16">
        <f>IF(Coleta!$J129="","",Coleta!K129)</f>
        <v>3</v>
      </c>
      <c r="G129" s="16">
        <f>IF(Coleta!$J129="","",Coleta!L129)</f>
        <v>0.5</v>
      </c>
      <c r="H129" s="16">
        <f>IF(Coleta!$J129="","",Coleta!M129)</f>
        <v>0</v>
      </c>
      <c r="I129" s="16">
        <f>IF(Coleta!$J129="","",Coleta!P129)</f>
        <v>0</v>
      </c>
      <c r="J129" s="16">
        <f>IF(Coleta!$J129="","",Coleta!Q129)</f>
        <v>0</v>
      </c>
      <c r="K129" s="16" t="str">
        <f>IF(Coleta!$J129="","",Coleta!C129)</f>
        <v>Probe-DE</v>
      </c>
    </row>
    <row r="130" spans="1:11" x14ac:dyDescent="0.3">
      <c r="A130" s="16" t="str">
        <f>IF(Coleta!$J130="","",Coleta!F130)</f>
        <v>2026-10-18T15:25:00Z</v>
      </c>
      <c r="B130" s="16" t="str">
        <f>IF(Coleta!$J130="","",Coleta!B130)</f>
        <v>Probe-DE|192.168.20.10</v>
      </c>
      <c r="C130" s="16" t="str">
        <f>IF(Coleta!$J130="","",Coleta!D130)</f>
        <v>A</v>
      </c>
      <c r="D130" s="16" t="str">
        <f>IF(Coleta!$J130="","",Coleta!E130)</f>
        <v>Normal</v>
      </c>
      <c r="E130" s="16">
        <f>IF(Coleta!$J130="","",Coleta!J130)</f>
        <v>3</v>
      </c>
      <c r="F130" s="16">
        <f>IF(Coleta!$J130="","",Coleta!K130)</f>
        <v>3</v>
      </c>
      <c r="G130" s="16">
        <f>IF(Coleta!$J130="","",Coleta!L130)</f>
        <v>0.66666666666666663</v>
      </c>
      <c r="H130" s="16">
        <f>IF(Coleta!$J130="","",Coleta!M130)</f>
        <v>0</v>
      </c>
      <c r="I130" s="16">
        <f>IF(Coleta!$J130="","",Coleta!P130)</f>
        <v>0.5</v>
      </c>
      <c r="J130" s="16">
        <f>IF(Coleta!$J130="","",Coleta!Q130)</f>
        <v>0</v>
      </c>
      <c r="K130" s="16" t="str">
        <f>IF(Coleta!$J130="","",Coleta!C130)</f>
        <v>Probe-DE</v>
      </c>
    </row>
    <row r="131" spans="1:11" x14ac:dyDescent="0.3">
      <c r="A131" s="16" t="str">
        <f>IF(Coleta!$J131="","",Coleta!F131)</f>
        <v>2026-10-18T15:26:00Z</v>
      </c>
      <c r="B131" s="16" t="str">
        <f>IF(Coleta!$J131="","",Coleta!B131)</f>
        <v>Probe-DE|192.168.20.10</v>
      </c>
      <c r="C131" s="16" t="str">
        <f>IF(Coleta!$J131="","",Coleta!D131)</f>
        <v>A</v>
      </c>
      <c r="D131" s="16" t="str">
        <f>IF(Coleta!$J131="","",Coleta!E131)</f>
        <v>Normal</v>
      </c>
      <c r="E131" s="16">
        <f>IF(Coleta!$J131="","",Coleta!J131)</f>
        <v>3</v>
      </c>
      <c r="F131" s="16">
        <f>IF(Coleta!$J131="","",Coleta!K131)</f>
        <v>3</v>
      </c>
      <c r="G131" s="16">
        <f>IF(Coleta!$J131="","",Coleta!L131)</f>
        <v>1</v>
      </c>
      <c r="H131" s="16">
        <f>IF(Coleta!$J131="","",Coleta!M131)</f>
        <v>0</v>
      </c>
      <c r="I131" s="16">
        <f>IF(Coleta!$J131="","",Coleta!P131)</f>
        <v>0.75</v>
      </c>
      <c r="J131" s="16">
        <f>IF(Coleta!$J131="","",Coleta!Q131)</f>
        <v>0</v>
      </c>
      <c r="K131" s="16" t="str">
        <f>IF(Coleta!$J131="","",Coleta!C131)</f>
        <v>Probe-DE</v>
      </c>
    </row>
    <row r="132" spans="1:11" x14ac:dyDescent="0.3">
      <c r="A132" s="16" t="str">
        <f>IF(Coleta!$J132="","",Coleta!F132)</f>
        <v>2026-10-18T15:27:00Z</v>
      </c>
      <c r="B132" s="16" t="str">
        <f>IF(Coleta!$J132="","",Coleta!B132)</f>
        <v>Probe-DE|192.168.20.10</v>
      </c>
      <c r="C132" s="16" t="str">
        <f>IF(Coleta!$J132="","",Coleta!D132)</f>
        <v>A</v>
      </c>
      <c r="D132" s="16" t="str">
        <f>IF(Coleta!$J132="","",Coleta!E132)</f>
        <v>Normal</v>
      </c>
      <c r="E132" s="16">
        <f>IF(Coleta!$J132="","",Coleta!J132)</f>
        <v>3</v>
      </c>
      <c r="F132" s="16">
        <f>IF(Coleta!$J132="","",Coleta!K132)</f>
        <v>3</v>
      </c>
      <c r="G132" s="16">
        <f>IF(Coleta!$J132="","",Coleta!L132)</f>
        <v>0.66666666666666663</v>
      </c>
      <c r="H132" s="16">
        <f>IF(Coleta!$J132="","",Coleta!M132)</f>
        <v>0</v>
      </c>
      <c r="I132" s="16">
        <f>IF(Coleta!$J132="","",Coleta!P132)</f>
        <v>0.5</v>
      </c>
      <c r="J132" s="16">
        <f>IF(Coleta!$J132="","",Coleta!Q132)</f>
        <v>0</v>
      </c>
      <c r="K132" s="16" t="str">
        <f>IF(Coleta!$J132="","",Coleta!C132)</f>
        <v>Probe-DE</v>
      </c>
    </row>
    <row r="133" spans="1:11" x14ac:dyDescent="0.3">
      <c r="A133" s="16" t="str">
        <f>IF(Coleta!$J133="","",Coleta!F133)</f>
        <v>2026-10-18T15:28:00Z</v>
      </c>
      <c r="B133" s="16" t="str">
        <f>IF(Coleta!$J133="","",Coleta!B133)</f>
        <v>Probe-DE|192.168.20.10</v>
      </c>
      <c r="C133" s="16" t="str">
        <f>IF(Coleta!$J133="","",Coleta!D133)</f>
        <v>A</v>
      </c>
      <c r="D133" s="16" t="str">
        <f>IF(Coleta!$J133="","",Coleta!E133)</f>
        <v>Normal</v>
      </c>
      <c r="E133" s="16">
        <f>IF(Coleta!$J133="","",Coleta!J133)</f>
        <v>3</v>
      </c>
      <c r="F133" s="16">
        <f>IF(Coleta!$J133="","",Coleta!K133)</f>
        <v>3</v>
      </c>
      <c r="G133" s="16">
        <f>IF(Coleta!$J133="","",Coleta!L133)</f>
        <v>0.5</v>
      </c>
      <c r="H133" s="16">
        <f>IF(Coleta!$J133="","",Coleta!M133)</f>
        <v>0</v>
      </c>
      <c r="I133" s="16">
        <f>IF(Coleta!$J133="","",Coleta!P133)</f>
        <v>0</v>
      </c>
      <c r="J133" s="16">
        <f>IF(Coleta!$J133="","",Coleta!Q133)</f>
        <v>0</v>
      </c>
      <c r="K133" s="16" t="str">
        <f>IF(Coleta!$J133="","",Coleta!C133)</f>
        <v>Probe-DE</v>
      </c>
    </row>
    <row r="134" spans="1:11" x14ac:dyDescent="0.3">
      <c r="A134" s="16" t="str">
        <f>IF(Coleta!$J134="","",Coleta!F134)</f>
        <v>2026-10-18T15:31:00Z</v>
      </c>
      <c r="B134" s="16" t="str">
        <f>IF(Coleta!$J134="","",Coleta!B134)</f>
        <v>Probe-DE|192.168.20.10</v>
      </c>
      <c r="C134" s="16" t="str">
        <f>IF(Coleta!$J134="","",Coleta!D134)</f>
        <v>A</v>
      </c>
      <c r="D134" s="16" t="str">
        <f>IF(Coleta!$J134="","",Coleta!E134)</f>
        <v>Normal</v>
      </c>
      <c r="E134" s="16">
        <f>IF(Coleta!$J134="","",Coleta!J134)</f>
        <v>3</v>
      </c>
      <c r="F134" s="16">
        <f>IF(Coleta!$J134="","",Coleta!K134)</f>
        <v>3</v>
      </c>
      <c r="G134" s="16">
        <f>IF(Coleta!$J134="","",Coleta!L134)</f>
        <v>0.66666666666666663</v>
      </c>
      <c r="H134" s="16">
        <f>IF(Coleta!$J134="","",Coleta!M134)</f>
        <v>0</v>
      </c>
      <c r="I134" s="16">
        <f>IF(Coleta!$J134="","",Coleta!P134)</f>
        <v>0.5</v>
      </c>
      <c r="J134" s="16">
        <f>IF(Coleta!$J134="","",Coleta!Q134)</f>
        <v>0</v>
      </c>
      <c r="K134" s="16" t="str">
        <f>IF(Coleta!$J134="","",Coleta!C134)</f>
        <v>Probe-DE</v>
      </c>
    </row>
    <row r="135" spans="1:11" x14ac:dyDescent="0.3">
      <c r="A135" s="16" t="str">
        <f>IF(Coleta!$J135="","",Coleta!F135)</f>
        <v>2026-10-18T15:32:00Z</v>
      </c>
      <c r="B135" s="16" t="str">
        <f>IF(Coleta!$J135="","",Coleta!B135)</f>
        <v>Probe-DE|192.168.20.10</v>
      </c>
      <c r="C135" s="16" t="str">
        <f>IF(Coleta!$J135="","",Coleta!D135)</f>
        <v>A</v>
      </c>
      <c r="D135" s="16" t="str">
        <f>IF(Coleta!$J135="","",Coleta!E135)</f>
        <v>Normal</v>
      </c>
      <c r="E135" s="16">
        <f>IF(Coleta!$J135="","",Coleta!J135)</f>
        <v>3</v>
      </c>
      <c r="F135" s="16">
        <f>IF(Coleta!$J135="","",Coleta!K135)</f>
        <v>3</v>
      </c>
      <c r="G135" s="16">
        <f>IF(Coleta!$J135="","",Coleta!L135)</f>
        <v>4.333333333333333</v>
      </c>
      <c r="H135" s="16">
        <f>IF(Coleta!$J135="","",Coleta!M135)</f>
        <v>0</v>
      </c>
      <c r="I135" s="16">
        <f>IF(Coleta!$J135="","",Coleta!P135)</f>
        <v>5.75</v>
      </c>
      <c r="J135" s="16">
        <f>IF(Coleta!$J135="","",Coleta!Q135)</f>
        <v>0</v>
      </c>
      <c r="K135" s="16" t="str">
        <f>IF(Coleta!$J135="","",Coleta!C135)</f>
        <v>Probe-DE</v>
      </c>
    </row>
    <row r="136" spans="1:11" x14ac:dyDescent="0.3">
      <c r="A136" s="16" t="str">
        <f>IF(Coleta!$J136="","",Coleta!F136)</f>
        <v>2026-10-18T15:33:00Z</v>
      </c>
      <c r="B136" s="16" t="str">
        <f>IF(Coleta!$J136="","",Coleta!B136)</f>
        <v>Probe-DE|192.168.20.10</v>
      </c>
      <c r="C136" s="16" t="str">
        <f>IF(Coleta!$J136="","",Coleta!D136)</f>
        <v>A</v>
      </c>
      <c r="D136" s="16" t="str">
        <f>IF(Coleta!$J136="","",Coleta!E136)</f>
        <v>Normal</v>
      </c>
      <c r="E136" s="16">
        <f>IF(Coleta!$J136="","",Coleta!J136)</f>
        <v>3</v>
      </c>
      <c r="F136" s="16">
        <f>IF(Coleta!$J136="","",Coleta!K136)</f>
        <v>3</v>
      </c>
      <c r="G136" s="16">
        <f>IF(Coleta!$J136="","",Coleta!L136)</f>
        <v>0.5</v>
      </c>
      <c r="H136" s="16">
        <f>IF(Coleta!$J136="","",Coleta!M136)</f>
        <v>0</v>
      </c>
      <c r="I136" s="16">
        <f>IF(Coleta!$J136="","",Coleta!P136)</f>
        <v>0</v>
      </c>
      <c r="J136" s="16">
        <f>IF(Coleta!$J136="","",Coleta!Q136)</f>
        <v>0</v>
      </c>
      <c r="K136" s="16" t="str">
        <f>IF(Coleta!$J136="","",Coleta!C136)</f>
        <v>Probe-DE</v>
      </c>
    </row>
    <row r="137" spans="1:11" x14ac:dyDescent="0.3">
      <c r="A137" s="16" t="str">
        <f>IF(Coleta!$J137="","",Coleta!F137)</f>
        <v>2026-10-18T15:34:00Z</v>
      </c>
      <c r="B137" s="16" t="str">
        <f>IF(Coleta!$J137="","",Coleta!B137)</f>
        <v>Probe-DE|192.168.20.10</v>
      </c>
      <c r="C137" s="16" t="str">
        <f>IF(Coleta!$J137="","",Coleta!D137)</f>
        <v>A</v>
      </c>
      <c r="D137" s="16" t="str">
        <f>IF(Coleta!$J137="","",Coleta!E137)</f>
        <v>Normal</v>
      </c>
      <c r="E137" s="16">
        <f>IF(Coleta!$J137="","",Coleta!J137)</f>
        <v>3</v>
      </c>
      <c r="F137" s="16">
        <f>IF(Coleta!$J137="","",Coleta!K137)</f>
        <v>3</v>
      </c>
      <c r="G137" s="16">
        <f>IF(Coleta!$J137="","",Coleta!L137)</f>
        <v>0.66666666666666663</v>
      </c>
      <c r="H137" s="16">
        <f>IF(Coleta!$J137="","",Coleta!M137)</f>
        <v>0</v>
      </c>
      <c r="I137" s="16">
        <f>IF(Coleta!$J137="","",Coleta!P137)</f>
        <v>0.25</v>
      </c>
      <c r="J137" s="16">
        <f>IF(Coleta!$J137="","",Coleta!Q137)</f>
        <v>0</v>
      </c>
      <c r="K137" s="16" t="str">
        <f>IF(Coleta!$J137="","",Coleta!C137)</f>
        <v>Probe-DE</v>
      </c>
    </row>
    <row r="138" spans="1:11" x14ac:dyDescent="0.3">
      <c r="A138" s="16" t="str">
        <f>IF(Coleta!$J138="","",Coleta!F138)</f>
        <v>2026-10-18T15:35:00Z</v>
      </c>
      <c r="B138" s="16" t="str">
        <f>IF(Coleta!$J138="","",Coleta!B138)</f>
        <v>Probe-DE|192.168.20.10</v>
      </c>
      <c r="C138" s="16" t="str">
        <f>IF(Coleta!$J138="","",Coleta!D138)</f>
        <v>A</v>
      </c>
      <c r="D138" s="16" t="str">
        <f>IF(Coleta!$J138="","",Coleta!E138)</f>
        <v>Normal</v>
      </c>
      <c r="E138" s="16">
        <f>IF(Coleta!$J138="","",Coleta!J138)</f>
        <v>3</v>
      </c>
      <c r="F138" s="16">
        <f>IF(Coleta!$J138="","",Coleta!K138)</f>
        <v>3</v>
      </c>
      <c r="G138" s="16">
        <f>IF(Coleta!$J138="","",Coleta!L138)</f>
        <v>0.5</v>
      </c>
      <c r="H138" s="16">
        <f>IF(Coleta!$J138="","",Coleta!M138)</f>
        <v>0</v>
      </c>
      <c r="I138" s="16">
        <f>IF(Coleta!$J138="","",Coleta!P138)</f>
        <v>0</v>
      </c>
      <c r="J138" s="16">
        <f>IF(Coleta!$J138="","",Coleta!Q138)</f>
        <v>0</v>
      </c>
      <c r="K138" s="16" t="str">
        <f>IF(Coleta!$J138="","",Coleta!C138)</f>
        <v>Probe-DE</v>
      </c>
    </row>
    <row r="139" spans="1:11" x14ac:dyDescent="0.3">
      <c r="A139" s="16" t="str">
        <f>IF(Coleta!$J139="","",Coleta!F139)</f>
        <v>2026-10-18T15:37:00Z</v>
      </c>
      <c r="B139" s="16" t="str">
        <f>IF(Coleta!$J139="","",Coleta!B139)</f>
        <v>Probe-DE|192.168.20.10</v>
      </c>
      <c r="C139" s="16" t="str">
        <f>IF(Coleta!$J139="","",Coleta!D139)</f>
        <v>A</v>
      </c>
      <c r="D139" s="16" t="str">
        <f>IF(Coleta!$J139="","",Coleta!E139)</f>
        <v>Normal</v>
      </c>
      <c r="E139" s="16">
        <f>IF(Coleta!$J139="","",Coleta!J139)</f>
        <v>3</v>
      </c>
      <c r="F139" s="16">
        <f>IF(Coleta!$J139="","",Coleta!K139)</f>
        <v>3</v>
      </c>
      <c r="G139" s="16">
        <f>IF(Coleta!$J139="","",Coleta!L139)</f>
        <v>0.5</v>
      </c>
      <c r="H139" s="16">
        <f>IF(Coleta!$J139="","",Coleta!M139)</f>
        <v>0</v>
      </c>
      <c r="I139" s="16">
        <f>IF(Coleta!$J139="","",Coleta!P139)</f>
        <v>0</v>
      </c>
      <c r="J139" s="16">
        <f>IF(Coleta!$J139="","",Coleta!Q139)</f>
        <v>0</v>
      </c>
      <c r="K139" s="16" t="str">
        <f>IF(Coleta!$J139="","",Coleta!C139)</f>
        <v>Probe-DE</v>
      </c>
    </row>
    <row r="140" spans="1:11" x14ac:dyDescent="0.3">
      <c r="A140" s="16" t="str">
        <f>IF(Coleta!$J140="","",Coleta!F140)</f>
        <v>2026-10-18T15:39:00Z</v>
      </c>
      <c r="B140" s="16" t="str">
        <f>IF(Coleta!$J140="","",Coleta!B140)</f>
        <v>Probe-DE|192.168.20.10</v>
      </c>
      <c r="C140" s="16" t="str">
        <f>IF(Coleta!$J140="","",Coleta!D140)</f>
        <v>A</v>
      </c>
      <c r="D140" s="16" t="str">
        <f>IF(Coleta!$J140="","",Coleta!E140)</f>
        <v>Normal</v>
      </c>
      <c r="E140" s="16">
        <f>IF(Coleta!$J140="","",Coleta!J140)</f>
        <v>3</v>
      </c>
      <c r="F140" s="16">
        <f>IF(Coleta!$J140="","",Coleta!K140)</f>
        <v>3</v>
      </c>
      <c r="G140" s="16">
        <f>IF(Coleta!$J140="","",Coleta!L140)</f>
        <v>0.66666666666666663</v>
      </c>
      <c r="H140" s="16">
        <f>IF(Coleta!$J140="","",Coleta!M140)</f>
        <v>0</v>
      </c>
      <c r="I140" s="16">
        <f>IF(Coleta!$J140="","",Coleta!P140)</f>
        <v>0.25</v>
      </c>
      <c r="J140" s="16">
        <f>IF(Coleta!$J140="","",Coleta!Q140)</f>
        <v>0</v>
      </c>
      <c r="K140" s="16" t="str">
        <f>IF(Coleta!$J140="","",Coleta!C140)</f>
        <v>Probe-DE</v>
      </c>
    </row>
    <row r="141" spans="1:11" x14ac:dyDescent="0.3">
      <c r="A141" s="16" t="str">
        <f>IF(Coleta!$J141="","",Coleta!F141)</f>
        <v>2026-10-18T15:41:00Z</v>
      </c>
      <c r="B141" s="16" t="str">
        <f>IF(Coleta!$J141="","",Coleta!B141)</f>
        <v>Probe-DE|192.168.20.10</v>
      </c>
      <c r="C141" s="16" t="str">
        <f>IF(Coleta!$J141="","",Coleta!D141)</f>
        <v>A</v>
      </c>
      <c r="D141" s="16" t="str">
        <f>IF(Coleta!$J141="","",Coleta!E141)</f>
        <v>Normal</v>
      </c>
      <c r="E141" s="16">
        <f>IF(Coleta!$J141="","",Coleta!J141)</f>
        <v>3</v>
      </c>
      <c r="F141" s="16">
        <f>IF(Coleta!$J141="","",Coleta!K141)</f>
        <v>3</v>
      </c>
      <c r="G141" s="16">
        <f>IF(Coleta!$J141="","",Coleta!L141)</f>
        <v>0.5</v>
      </c>
      <c r="H141" s="16">
        <f>IF(Coleta!$J141="","",Coleta!M141)</f>
        <v>0</v>
      </c>
      <c r="I141" s="16">
        <f>IF(Coleta!$J141="","",Coleta!P141)</f>
        <v>0</v>
      </c>
      <c r="J141" s="16">
        <f>IF(Coleta!$J141="","",Coleta!Q141)</f>
        <v>0</v>
      </c>
      <c r="K141" s="16" t="str">
        <f>IF(Coleta!$J141="","",Coleta!C141)</f>
        <v>Probe-DE</v>
      </c>
    </row>
    <row r="142" spans="1:11" x14ac:dyDescent="0.3">
      <c r="A142" s="16" t="str">
        <f>IF(Coleta!$J142="","",Coleta!F142)</f>
        <v>2026-10-18T19:07:00Z</v>
      </c>
      <c r="B142" s="16" t="str">
        <f>IF(Coleta!$J142="","",Coleta!B142)</f>
        <v>Probe-DE|192.168.21.10</v>
      </c>
      <c r="C142" s="16" t="str">
        <f>IF(Coleta!$J142="","",Coleta!D142)</f>
        <v>A</v>
      </c>
      <c r="D142" s="16" t="str">
        <f>IF(Coleta!$J142="","",Coleta!E142)</f>
        <v>Normal</v>
      </c>
      <c r="E142" s="16">
        <f>IF(Coleta!$J142="","",Coleta!J142)</f>
        <v>3</v>
      </c>
      <c r="F142" s="16">
        <f>IF(Coleta!$J142="","",Coleta!K142)</f>
        <v>2</v>
      </c>
      <c r="G142" s="16">
        <f>IF(Coleta!$J142="","",Coleta!L142)</f>
        <v>7.75</v>
      </c>
      <c r="H142" s="16">
        <f>IF(Coleta!$J142="","",Coleta!M142)</f>
        <v>33.333333333333329</v>
      </c>
      <c r="I142" s="16">
        <f>IF(Coleta!$J142="","",Coleta!P142)</f>
        <v>14.5</v>
      </c>
      <c r="J142" s="16">
        <f>IF(Coleta!$J142="","",Coleta!Q142)</f>
        <v>0</v>
      </c>
      <c r="K142" s="16" t="str">
        <f>IF(Coleta!$J142="","",Coleta!C142)</f>
        <v>Probe-DE</v>
      </c>
    </row>
    <row r="143" spans="1:11" x14ac:dyDescent="0.3">
      <c r="A143" s="16" t="str">
        <f>IF(Coleta!$J143="","",Coleta!F143)</f>
        <v>2026-10-18T19:10:00Z</v>
      </c>
      <c r="B143" s="16" t="str">
        <f>IF(Coleta!$J143="","",Coleta!B143)</f>
        <v>Probe-DE|192.168.21.10</v>
      </c>
      <c r="C143" s="16" t="str">
        <f>IF(Coleta!$J143="","",Coleta!D143)</f>
        <v>A</v>
      </c>
      <c r="D143" s="16" t="str">
        <f>IF(Coleta!$J143="","",Coleta!E143)</f>
        <v>Normal</v>
      </c>
      <c r="E143" s="16">
        <f>IF(Coleta!$J143="","",Coleta!J143)</f>
        <v>3</v>
      </c>
      <c r="F143" s="16">
        <f>IF(Coleta!$J143="","",Coleta!K143)</f>
        <v>3</v>
      </c>
      <c r="G143" s="16">
        <f>IF(Coleta!$J143="","",Coleta!L143)</f>
        <v>0.5</v>
      </c>
      <c r="H143" s="16">
        <f>IF(Coleta!$J143="","",Coleta!M143)</f>
        <v>0</v>
      </c>
      <c r="I143" s="16">
        <f>IF(Coleta!$J143="","",Coleta!P143)</f>
        <v>0</v>
      </c>
      <c r="J143" s="16">
        <f>IF(Coleta!$J143="","",Coleta!Q143)</f>
        <v>0</v>
      </c>
      <c r="K143" s="16" t="str">
        <f>IF(Coleta!$J143="","",Coleta!C143)</f>
        <v>Probe-DE</v>
      </c>
    </row>
    <row r="144" spans="1:11" x14ac:dyDescent="0.3">
      <c r="A144" s="16" t="str">
        <f>IF(Coleta!$J144="","",Coleta!F144)</f>
        <v>2026-10-18T19:11:00Z</v>
      </c>
      <c r="B144" s="16" t="str">
        <f>IF(Coleta!$J144="","",Coleta!B144)</f>
        <v>Probe-DE|192.168.21.10</v>
      </c>
      <c r="C144" s="16" t="str">
        <f>IF(Coleta!$J144="","",Coleta!D144)</f>
        <v>A</v>
      </c>
      <c r="D144" s="16" t="str">
        <f>IF(Coleta!$J144="","",Coleta!E144)</f>
        <v>Normal</v>
      </c>
      <c r="E144" s="16">
        <f>IF(Coleta!$J144="","",Coleta!J144)</f>
        <v>3</v>
      </c>
      <c r="F144" s="16">
        <f>IF(Coleta!$J144="","",Coleta!K144)</f>
        <v>3</v>
      </c>
      <c r="G144" s="16">
        <f>IF(Coleta!$J144="","",Coleta!L144)</f>
        <v>0.5</v>
      </c>
      <c r="H144" s="16">
        <f>IF(Coleta!$J144="","",Coleta!M144)</f>
        <v>0</v>
      </c>
      <c r="I144" s="16">
        <f>IF(Coleta!$J144="","",Coleta!P144)</f>
        <v>0</v>
      </c>
      <c r="J144" s="16">
        <f>IF(Coleta!$J144="","",Coleta!Q144)</f>
        <v>0</v>
      </c>
      <c r="K144" s="16" t="str">
        <f>IF(Coleta!$J144="","",Coleta!C144)</f>
        <v>Probe-DE</v>
      </c>
    </row>
    <row r="145" spans="1:11" x14ac:dyDescent="0.3">
      <c r="A145" s="16" t="str">
        <f>IF(Coleta!$J145="","",Coleta!F145)</f>
        <v>2026-10-18T19:13:00Z</v>
      </c>
      <c r="B145" s="16" t="str">
        <f>IF(Coleta!$J145="","",Coleta!B145)</f>
        <v>Probe-DE|192.168.21.10</v>
      </c>
      <c r="C145" s="16" t="str">
        <f>IF(Coleta!$J145="","",Coleta!D145)</f>
        <v>A</v>
      </c>
      <c r="D145" s="16" t="str">
        <f>IF(Coleta!$J145="","",Coleta!E145)</f>
        <v>Normal</v>
      </c>
      <c r="E145" s="16">
        <f>IF(Coleta!$J145="","",Coleta!J145)</f>
        <v>3</v>
      </c>
      <c r="F145" s="16">
        <f>IF(Coleta!$J145="","",Coleta!K145)</f>
        <v>3</v>
      </c>
      <c r="G145" s="16">
        <f>IF(Coleta!$J145="","",Coleta!L145)</f>
        <v>0.5</v>
      </c>
      <c r="H145" s="16">
        <f>IF(Coleta!$J145="","",Coleta!M145)</f>
        <v>0</v>
      </c>
      <c r="I145" s="16">
        <f>IF(Coleta!$J145="","",Coleta!P145)</f>
        <v>0</v>
      </c>
      <c r="J145" s="16">
        <f>IF(Coleta!$J145="","",Coleta!Q145)</f>
        <v>0</v>
      </c>
      <c r="K145" s="16" t="str">
        <f>IF(Coleta!$J145="","",Coleta!C145)</f>
        <v>Probe-DE</v>
      </c>
    </row>
    <row r="146" spans="1:11" x14ac:dyDescent="0.3">
      <c r="A146" s="16" t="str">
        <f>IF(Coleta!$J146="","",Coleta!F146)</f>
        <v>2026-10-18T19:15:00Z</v>
      </c>
      <c r="B146" s="16" t="str">
        <f>IF(Coleta!$J146="","",Coleta!B146)</f>
        <v>Probe-DE|192.168.21.10</v>
      </c>
      <c r="C146" s="16" t="str">
        <f>IF(Coleta!$J146="","",Coleta!D146)</f>
        <v>A</v>
      </c>
      <c r="D146" s="16" t="str">
        <f>IF(Coleta!$J146="","",Coleta!E146)</f>
        <v>Normal</v>
      </c>
      <c r="E146" s="16">
        <f>IF(Coleta!$J146="","",Coleta!J146)</f>
        <v>3</v>
      </c>
      <c r="F146" s="16">
        <f>IF(Coleta!$J146="","",Coleta!K146)</f>
        <v>3</v>
      </c>
      <c r="G146" s="16">
        <f>IF(Coleta!$J146="","",Coleta!L146)</f>
        <v>0.66666666666666663</v>
      </c>
      <c r="H146" s="16">
        <f>IF(Coleta!$J146="","",Coleta!M146)</f>
        <v>0</v>
      </c>
      <c r="I146" s="16">
        <f>IF(Coleta!$J146="","",Coleta!P146)</f>
        <v>0.25</v>
      </c>
      <c r="J146" s="16">
        <f>IF(Coleta!$J146="","",Coleta!Q146)</f>
        <v>0</v>
      </c>
      <c r="K146" s="16" t="str">
        <f>IF(Coleta!$J146="","",Coleta!C146)</f>
        <v>Probe-DE</v>
      </c>
    </row>
    <row r="147" spans="1:11" x14ac:dyDescent="0.3">
      <c r="A147" s="16" t="str">
        <f>IF(Coleta!$J147="","",Coleta!F147)</f>
        <v>2026-10-18T19:16:00Z</v>
      </c>
      <c r="B147" s="16" t="str">
        <f>IF(Coleta!$J147="","",Coleta!B147)</f>
        <v>Probe-DE|192.168.21.10</v>
      </c>
      <c r="C147" s="16" t="str">
        <f>IF(Coleta!$J147="","",Coleta!D147)</f>
        <v>A</v>
      </c>
      <c r="D147" s="16" t="str">
        <f>IF(Coleta!$J147="","",Coleta!E147)</f>
        <v>Normal</v>
      </c>
      <c r="E147" s="16">
        <f>IF(Coleta!$J147="","",Coleta!J147)</f>
        <v>3</v>
      </c>
      <c r="F147" s="16">
        <f>IF(Coleta!$J147="","",Coleta!K147)</f>
        <v>3</v>
      </c>
      <c r="G147" s="16">
        <f>IF(Coleta!$J147="","",Coleta!L147)</f>
        <v>0.5</v>
      </c>
      <c r="H147" s="16">
        <f>IF(Coleta!$J147="","",Coleta!M147)</f>
        <v>0</v>
      </c>
      <c r="I147" s="16">
        <f>IF(Coleta!$J147="","",Coleta!P147)</f>
        <v>0</v>
      </c>
      <c r="J147" s="16">
        <f>IF(Coleta!$J147="","",Coleta!Q147)</f>
        <v>0</v>
      </c>
      <c r="K147" s="16" t="str">
        <f>IF(Coleta!$J147="","",Coleta!C147)</f>
        <v>Probe-DE</v>
      </c>
    </row>
    <row r="148" spans="1:11" x14ac:dyDescent="0.3">
      <c r="A148" s="16" t="str">
        <f>IF(Coleta!$J148="","",Coleta!F148)</f>
        <v>2026-10-18T19:18:00Z</v>
      </c>
      <c r="B148" s="16" t="str">
        <f>IF(Coleta!$J148="","",Coleta!B148)</f>
        <v>Probe-DE|192.168.21.10</v>
      </c>
      <c r="C148" s="16" t="str">
        <f>IF(Coleta!$J148="","",Coleta!D148)</f>
        <v>A</v>
      </c>
      <c r="D148" s="16" t="str">
        <f>IF(Coleta!$J148="","",Coleta!E148)</f>
        <v>Normal</v>
      </c>
      <c r="E148" s="16">
        <f>IF(Coleta!$J148="","",Coleta!J148)</f>
        <v>3</v>
      </c>
      <c r="F148" s="16">
        <f>IF(Coleta!$J148="","",Coleta!K148)</f>
        <v>3</v>
      </c>
      <c r="G148" s="16">
        <f>IF(Coleta!$J148="","",Coleta!L148)</f>
        <v>0.5</v>
      </c>
      <c r="H148" s="16">
        <f>IF(Coleta!$J148="","",Coleta!M148)</f>
        <v>0</v>
      </c>
      <c r="I148" s="16">
        <f>IF(Coleta!$J148="","",Coleta!P148)</f>
        <v>0</v>
      </c>
      <c r="J148" s="16">
        <f>IF(Coleta!$J148="","",Coleta!Q148)</f>
        <v>0</v>
      </c>
      <c r="K148" s="16" t="str">
        <f>IF(Coleta!$J148="","",Coleta!C148)</f>
        <v>Probe-DE</v>
      </c>
    </row>
    <row r="149" spans="1:11" x14ac:dyDescent="0.3">
      <c r="A149" s="16" t="str">
        <f>IF(Coleta!$J149="","",Coleta!F149)</f>
        <v>2026-10-18T19:19:00Z</v>
      </c>
      <c r="B149" s="16" t="str">
        <f>IF(Coleta!$J149="","",Coleta!B149)</f>
        <v>Probe-DE|192.168.21.10</v>
      </c>
      <c r="C149" s="16" t="str">
        <f>IF(Coleta!$J149="","",Coleta!D149)</f>
        <v>A</v>
      </c>
      <c r="D149" s="16" t="str">
        <f>IF(Coleta!$J149="","",Coleta!E149)</f>
        <v>Normal</v>
      </c>
      <c r="E149" s="16">
        <f>IF(Coleta!$J149="","",Coleta!J149)</f>
        <v>3</v>
      </c>
      <c r="F149" s="16">
        <f>IF(Coleta!$J149="","",Coleta!K149)</f>
        <v>3</v>
      </c>
      <c r="G149" s="16">
        <f>IF(Coleta!$J149="","",Coleta!L149)</f>
        <v>5</v>
      </c>
      <c r="H149" s="16">
        <f>IF(Coleta!$J149="","",Coleta!M149)</f>
        <v>0</v>
      </c>
      <c r="I149" s="16">
        <f>IF(Coleta!$J149="","",Coleta!P149)</f>
        <v>13.5</v>
      </c>
      <c r="J149" s="16">
        <f>IF(Coleta!$J149="","",Coleta!Q149)</f>
        <v>0</v>
      </c>
      <c r="K149" s="16" t="str">
        <f>IF(Coleta!$J149="","",Coleta!C149)</f>
        <v>Probe-DE</v>
      </c>
    </row>
    <row r="150" spans="1:11" x14ac:dyDescent="0.3">
      <c r="A150" s="16" t="str">
        <f>IF(Coleta!$J150="","",Coleta!F150)</f>
        <v>2026-10-18T19:21:00Z</v>
      </c>
      <c r="B150" s="16" t="str">
        <f>IF(Coleta!$J150="","",Coleta!B150)</f>
        <v>Probe-DE|192.168.21.10</v>
      </c>
      <c r="C150" s="16" t="str">
        <f>IF(Coleta!$J150="","",Coleta!D150)</f>
        <v>A</v>
      </c>
      <c r="D150" s="16" t="str">
        <f>IF(Coleta!$J150="","",Coleta!E150)</f>
        <v>Normal</v>
      </c>
      <c r="E150" s="16">
        <f>IF(Coleta!$J150="","",Coleta!J150)</f>
        <v>3</v>
      </c>
      <c r="F150" s="16">
        <f>IF(Coleta!$J150="","",Coleta!K150)</f>
        <v>3</v>
      </c>
      <c r="G150" s="16">
        <f>IF(Coleta!$J150="","",Coleta!L150)</f>
        <v>0.5</v>
      </c>
      <c r="H150" s="16">
        <f>IF(Coleta!$J150="","",Coleta!M150)</f>
        <v>0</v>
      </c>
      <c r="I150" s="16">
        <f>IF(Coleta!$J150="","",Coleta!P150)</f>
        <v>0</v>
      </c>
      <c r="J150" s="16">
        <f>IF(Coleta!$J150="","",Coleta!Q150)</f>
        <v>0</v>
      </c>
      <c r="K150" s="16" t="str">
        <f>IF(Coleta!$J150="","",Coleta!C150)</f>
        <v>Probe-DE</v>
      </c>
    </row>
    <row r="151" spans="1:11" x14ac:dyDescent="0.3">
      <c r="A151" s="16" t="str">
        <f>IF(Coleta!$J151="","",Coleta!F151)</f>
        <v>2026-10-18T19:22:00Z</v>
      </c>
      <c r="B151" s="16" t="str">
        <f>IF(Coleta!$J151="","",Coleta!B151)</f>
        <v>Probe-DE|192.168.21.10</v>
      </c>
      <c r="C151" s="16" t="str">
        <f>IF(Coleta!$J151="","",Coleta!D151)</f>
        <v>A</v>
      </c>
      <c r="D151" s="16" t="str">
        <f>IF(Coleta!$J151="","",Coleta!E151)</f>
        <v>Normal</v>
      </c>
      <c r="E151" s="16">
        <f>IF(Coleta!$J151="","",Coleta!J151)</f>
        <v>3</v>
      </c>
      <c r="F151" s="16">
        <f>IF(Coleta!$J151="","",Coleta!K151)</f>
        <v>3</v>
      </c>
      <c r="G151" s="16">
        <f>IF(Coleta!$J151="","",Coleta!L151)</f>
        <v>15</v>
      </c>
      <c r="H151" s="16">
        <f>IF(Coleta!$J151="","",Coleta!M151)</f>
        <v>0</v>
      </c>
      <c r="I151" s="16">
        <f>IF(Coleta!$J151="","",Coleta!P151)</f>
        <v>21.75</v>
      </c>
      <c r="J151" s="16">
        <f>IF(Coleta!$J151="","",Coleta!Q151)</f>
        <v>0</v>
      </c>
      <c r="K151" s="16" t="str">
        <f>IF(Coleta!$J151="","",Coleta!C151)</f>
        <v>Probe-DE</v>
      </c>
    </row>
    <row r="152" spans="1:11" x14ac:dyDescent="0.3">
      <c r="A152" s="16" t="str">
        <f>IF(Coleta!$J152="","",Coleta!F152)</f>
        <v>2026-10-18T19:24:00Z</v>
      </c>
      <c r="B152" s="16" t="str">
        <f>IF(Coleta!$J152="","",Coleta!B152)</f>
        <v>Probe-DE|192.168.21.10</v>
      </c>
      <c r="C152" s="16" t="str">
        <f>IF(Coleta!$J152="","",Coleta!D152)</f>
        <v>A</v>
      </c>
      <c r="D152" s="16" t="str">
        <f>IF(Coleta!$J152="","",Coleta!E152)</f>
        <v>Normal</v>
      </c>
      <c r="E152" s="16">
        <f>IF(Coleta!$J152="","",Coleta!J152)</f>
        <v>3</v>
      </c>
      <c r="F152" s="16">
        <f>IF(Coleta!$J152="","",Coleta!K152)</f>
        <v>3</v>
      </c>
      <c r="G152" s="16">
        <f>IF(Coleta!$J152="","",Coleta!L152)</f>
        <v>0.5</v>
      </c>
      <c r="H152" s="16">
        <f>IF(Coleta!$J152="","",Coleta!M152)</f>
        <v>0</v>
      </c>
      <c r="I152" s="16">
        <f>IF(Coleta!$J152="","",Coleta!P152)</f>
        <v>0</v>
      </c>
      <c r="J152" s="16">
        <f>IF(Coleta!$J152="","",Coleta!Q152)</f>
        <v>0</v>
      </c>
      <c r="K152" s="16" t="str">
        <f>IF(Coleta!$J152="","",Coleta!C152)</f>
        <v>Probe-DE</v>
      </c>
    </row>
    <row r="153" spans="1:11" x14ac:dyDescent="0.3">
      <c r="A153" s="16" t="str">
        <f>IF(Coleta!$J153="","",Coleta!F153)</f>
        <v>2026-10-18T19:26:00Z</v>
      </c>
      <c r="B153" s="16" t="str">
        <f>IF(Coleta!$J153="","",Coleta!B153)</f>
        <v>Probe-DE|192.168.21.10</v>
      </c>
      <c r="C153" s="16" t="str">
        <f>IF(Coleta!$J153="","",Coleta!D153)</f>
        <v>A</v>
      </c>
      <c r="D153" s="16" t="str">
        <f>IF(Coleta!$J153="","",Coleta!E153)</f>
        <v>Normal</v>
      </c>
      <c r="E153" s="16">
        <f>IF(Coleta!$J153="","",Coleta!J153)</f>
        <v>3</v>
      </c>
      <c r="F153" s="16">
        <f>IF(Coleta!$J153="","",Coleta!K153)</f>
        <v>3</v>
      </c>
      <c r="G153" s="16">
        <f>IF(Coleta!$J153="","",Coleta!L153)</f>
        <v>0.5</v>
      </c>
      <c r="H153" s="16">
        <f>IF(Coleta!$J153="","",Coleta!M153)</f>
        <v>0</v>
      </c>
      <c r="I153" s="16">
        <f>IF(Coleta!$J153="","",Coleta!P153)</f>
        <v>0</v>
      </c>
      <c r="J153" s="16">
        <f>IF(Coleta!$J153="","",Coleta!Q153)</f>
        <v>0</v>
      </c>
      <c r="K153" s="16" t="str">
        <f>IF(Coleta!$J153="","",Coleta!C153)</f>
        <v>Probe-DE</v>
      </c>
    </row>
    <row r="154" spans="1:11" x14ac:dyDescent="0.3">
      <c r="A154" s="16" t="str">
        <f>IF(Coleta!$J154="","",Coleta!F154)</f>
        <v>2026-10-18T19:27:00Z</v>
      </c>
      <c r="B154" s="16" t="str">
        <f>IF(Coleta!$J154="","",Coleta!B154)</f>
        <v>Probe-DE|192.168.21.10</v>
      </c>
      <c r="C154" s="16" t="str">
        <f>IF(Coleta!$J154="","",Coleta!D154)</f>
        <v>A</v>
      </c>
      <c r="D154" s="16" t="str">
        <f>IF(Coleta!$J154="","",Coleta!E154)</f>
        <v>Normal</v>
      </c>
      <c r="E154" s="16">
        <f>IF(Coleta!$J154="","",Coleta!J154)</f>
        <v>3</v>
      </c>
      <c r="F154" s="16">
        <f>IF(Coleta!$J154="","",Coleta!K154)</f>
        <v>3</v>
      </c>
      <c r="G154" s="16">
        <f>IF(Coleta!$J154="","",Coleta!L154)</f>
        <v>0.5</v>
      </c>
      <c r="H154" s="16">
        <f>IF(Coleta!$J154="","",Coleta!M154)</f>
        <v>0</v>
      </c>
      <c r="I154" s="16">
        <f>IF(Coleta!$J154="","",Coleta!P154)</f>
        <v>0</v>
      </c>
      <c r="J154" s="16">
        <f>IF(Coleta!$J154="","",Coleta!Q154)</f>
        <v>0</v>
      </c>
      <c r="K154" s="16" t="str">
        <f>IF(Coleta!$J154="","",Coleta!C154)</f>
        <v>Probe-DE</v>
      </c>
    </row>
    <row r="155" spans="1:11" x14ac:dyDescent="0.3">
      <c r="A155" s="16" t="str">
        <f>IF(Coleta!$J155="","",Coleta!F155)</f>
        <v>2026-10-18T19:28:00Z</v>
      </c>
      <c r="B155" s="16" t="str">
        <f>IF(Coleta!$J155="","",Coleta!B155)</f>
        <v>Probe-DE|192.168.21.10</v>
      </c>
      <c r="C155" s="16" t="str">
        <f>IF(Coleta!$J155="","",Coleta!D155)</f>
        <v>A</v>
      </c>
      <c r="D155" s="16" t="str">
        <f>IF(Coleta!$J155="","",Coleta!E155)</f>
        <v>Normal</v>
      </c>
      <c r="E155" s="16">
        <f>IF(Coleta!$J155="","",Coleta!J155)</f>
        <v>3</v>
      </c>
      <c r="F155" s="16">
        <f>IF(Coleta!$J155="","",Coleta!K155)</f>
        <v>3</v>
      </c>
      <c r="G155" s="16">
        <f>IF(Coleta!$J155="","",Coleta!L155)</f>
        <v>0.5</v>
      </c>
      <c r="H155" s="16">
        <f>IF(Coleta!$J155="","",Coleta!M155)</f>
        <v>0</v>
      </c>
      <c r="I155" s="16">
        <f>IF(Coleta!$J155="","",Coleta!P155)</f>
        <v>0</v>
      </c>
      <c r="J155" s="16">
        <f>IF(Coleta!$J155="","",Coleta!Q155)</f>
        <v>0</v>
      </c>
      <c r="K155" s="16" t="str">
        <f>IF(Coleta!$J155="","",Coleta!C155)</f>
        <v>Probe-DE</v>
      </c>
    </row>
    <row r="156" spans="1:11" x14ac:dyDescent="0.3">
      <c r="A156" s="16" t="str">
        <f>IF(Coleta!$J156="","",Coleta!F156)</f>
        <v>2026-10-18T19:30:00Z</v>
      </c>
      <c r="B156" s="16" t="str">
        <f>IF(Coleta!$J156="","",Coleta!B156)</f>
        <v>Probe-DE|192.168.21.10</v>
      </c>
      <c r="C156" s="16" t="str">
        <f>IF(Coleta!$J156="","",Coleta!D156)</f>
        <v>A</v>
      </c>
      <c r="D156" s="16" t="str">
        <f>IF(Coleta!$J156="","",Coleta!E156)</f>
        <v>Normal</v>
      </c>
      <c r="E156" s="16">
        <f>IF(Coleta!$J156="","",Coleta!J156)</f>
        <v>3</v>
      </c>
      <c r="F156" s="16">
        <f>IF(Coleta!$J156="","",Coleta!K156)</f>
        <v>3</v>
      </c>
      <c r="G156" s="16">
        <f>IF(Coleta!$J156="","",Coleta!L156)</f>
        <v>0.5</v>
      </c>
      <c r="H156" s="16">
        <f>IF(Coleta!$J156="","",Coleta!M156)</f>
        <v>0</v>
      </c>
      <c r="I156" s="16">
        <f>IF(Coleta!$J156="","",Coleta!P156)</f>
        <v>0</v>
      </c>
      <c r="J156" s="16">
        <f>IF(Coleta!$J156="","",Coleta!Q156)</f>
        <v>0</v>
      </c>
      <c r="K156" s="16" t="str">
        <f>IF(Coleta!$J156="","",Coleta!C156)</f>
        <v>Probe-DE</v>
      </c>
    </row>
    <row r="157" spans="1:11" x14ac:dyDescent="0.3">
      <c r="A157" s="16" t="str">
        <f>IF(Coleta!$J157="","",Coleta!F157)</f>
        <v>2026-10-18T19:31:00Z</v>
      </c>
      <c r="B157" s="16" t="str">
        <f>IF(Coleta!$J157="","",Coleta!B157)</f>
        <v>Probe-DE|192.168.21.10</v>
      </c>
      <c r="C157" s="16" t="str">
        <f>IF(Coleta!$J157="","",Coleta!D157)</f>
        <v>A</v>
      </c>
      <c r="D157" s="16" t="str">
        <f>IF(Coleta!$J157="","",Coleta!E157)</f>
        <v>Normal</v>
      </c>
      <c r="E157" s="16">
        <f>IF(Coleta!$J157="","",Coleta!J157)</f>
        <v>3</v>
      </c>
      <c r="F157" s="16">
        <f>IF(Coleta!$J157="","",Coleta!K157)</f>
        <v>3</v>
      </c>
      <c r="G157" s="16">
        <f>IF(Coleta!$J157="","",Coleta!L157)</f>
        <v>7</v>
      </c>
      <c r="H157" s="16">
        <f>IF(Coleta!$J157="","",Coleta!M157)</f>
        <v>0</v>
      </c>
      <c r="I157" s="16">
        <f>IF(Coleta!$J157="","",Coleta!P157)</f>
        <v>9</v>
      </c>
      <c r="J157" s="16">
        <f>IF(Coleta!$J157="","",Coleta!Q157)</f>
        <v>0</v>
      </c>
      <c r="K157" s="16" t="str">
        <f>IF(Coleta!$J157="","",Coleta!C157)</f>
        <v>Probe-DE</v>
      </c>
    </row>
    <row r="158" spans="1:11" x14ac:dyDescent="0.3">
      <c r="A158" s="16" t="str">
        <f>IF(Coleta!$J158="","",Coleta!F158)</f>
        <v>2026-10-18T19:32:00Z</v>
      </c>
      <c r="B158" s="16" t="str">
        <f>IF(Coleta!$J158="","",Coleta!B158)</f>
        <v>Probe-DE|192.168.21.10</v>
      </c>
      <c r="C158" s="16" t="str">
        <f>IF(Coleta!$J158="","",Coleta!D158)</f>
        <v>A</v>
      </c>
      <c r="D158" s="16" t="str">
        <f>IF(Coleta!$J158="","",Coleta!E158)</f>
        <v>Normal</v>
      </c>
      <c r="E158" s="16">
        <f>IF(Coleta!$J158="","",Coleta!J158)</f>
        <v>3</v>
      </c>
      <c r="F158" s="16">
        <f>IF(Coleta!$J158="","",Coleta!K158)</f>
        <v>3</v>
      </c>
      <c r="G158" s="16">
        <f>IF(Coleta!$J158="","",Coleta!L158)</f>
        <v>0.5</v>
      </c>
      <c r="H158" s="16">
        <f>IF(Coleta!$J158="","",Coleta!M158)</f>
        <v>0</v>
      </c>
      <c r="I158" s="16">
        <f>IF(Coleta!$J158="","",Coleta!P158)</f>
        <v>0</v>
      </c>
      <c r="J158" s="16">
        <f>IF(Coleta!$J158="","",Coleta!Q158)</f>
        <v>0</v>
      </c>
      <c r="K158" s="16" t="str">
        <f>IF(Coleta!$J158="","",Coleta!C158)</f>
        <v>Probe-DE</v>
      </c>
    </row>
    <row r="159" spans="1:11" x14ac:dyDescent="0.3">
      <c r="A159" s="16" t="str">
        <f>IF(Coleta!$J159="","",Coleta!F159)</f>
        <v>2026-10-18T19:33:00Z</v>
      </c>
      <c r="B159" s="16" t="str">
        <f>IF(Coleta!$J159="","",Coleta!B159)</f>
        <v>Probe-DE|192.168.21.10</v>
      </c>
      <c r="C159" s="16" t="str">
        <f>IF(Coleta!$J159="","",Coleta!D159)</f>
        <v>A</v>
      </c>
      <c r="D159" s="16" t="str">
        <f>IF(Coleta!$J159="","",Coleta!E159)</f>
        <v>Normal</v>
      </c>
      <c r="E159" s="16">
        <f>IF(Coleta!$J159="","",Coleta!J159)</f>
        <v>3</v>
      </c>
      <c r="F159" s="16">
        <f>IF(Coleta!$J159="","",Coleta!K159)</f>
        <v>3</v>
      </c>
      <c r="G159" s="16">
        <f>IF(Coleta!$J159="","",Coleta!L159)</f>
        <v>0.5</v>
      </c>
      <c r="H159" s="16">
        <f>IF(Coleta!$J159="","",Coleta!M159)</f>
        <v>0</v>
      </c>
      <c r="I159" s="16">
        <f>IF(Coleta!$J159="","",Coleta!P159)</f>
        <v>0</v>
      </c>
      <c r="J159" s="16">
        <f>IF(Coleta!$J159="","",Coleta!Q159)</f>
        <v>0</v>
      </c>
      <c r="K159" s="16" t="str">
        <f>IF(Coleta!$J159="","",Coleta!C159)</f>
        <v>Probe-DE</v>
      </c>
    </row>
    <row r="160" spans="1:11" x14ac:dyDescent="0.3">
      <c r="A160" s="16" t="str">
        <f>IF(Coleta!$J160="","",Coleta!F160)</f>
        <v>2026-10-18T19:35:00Z</v>
      </c>
      <c r="B160" s="16" t="str">
        <f>IF(Coleta!$J160="","",Coleta!B160)</f>
        <v>Probe-DE|192.168.21.10</v>
      </c>
      <c r="C160" s="16" t="str">
        <f>IF(Coleta!$J160="","",Coleta!D160)</f>
        <v>A</v>
      </c>
      <c r="D160" s="16" t="str">
        <f>IF(Coleta!$J160="","",Coleta!E160)</f>
        <v>Normal</v>
      </c>
      <c r="E160" s="16">
        <f>IF(Coleta!$J160="","",Coleta!J160)</f>
        <v>3</v>
      </c>
      <c r="F160" s="16">
        <f>IF(Coleta!$J160="","",Coleta!K160)</f>
        <v>3</v>
      </c>
      <c r="G160" s="16">
        <f>IF(Coleta!$J160="","",Coleta!L160)</f>
        <v>0.5</v>
      </c>
      <c r="H160" s="16">
        <f>IF(Coleta!$J160="","",Coleta!M160)</f>
        <v>0</v>
      </c>
      <c r="I160" s="16">
        <f>IF(Coleta!$J160="","",Coleta!P160)</f>
        <v>0</v>
      </c>
      <c r="J160" s="16">
        <f>IF(Coleta!$J160="","",Coleta!Q160)</f>
        <v>0</v>
      </c>
      <c r="K160" s="16" t="str">
        <f>IF(Coleta!$J160="","",Coleta!C160)</f>
        <v>Probe-DE</v>
      </c>
    </row>
    <row r="161" spans="1:11" x14ac:dyDescent="0.3">
      <c r="A161" s="16" t="str">
        <f>IF(Coleta!$J161="","",Coleta!F161)</f>
        <v>2026-10-18T19:36:00Z</v>
      </c>
      <c r="B161" s="16" t="str">
        <f>IF(Coleta!$J161="","",Coleta!B161)</f>
        <v>Probe-DE|192.168.21.10</v>
      </c>
      <c r="C161" s="16" t="str">
        <f>IF(Coleta!$J161="","",Coleta!D161)</f>
        <v>A</v>
      </c>
      <c r="D161" s="16" t="str">
        <f>IF(Coleta!$J161="","",Coleta!E161)</f>
        <v>Normal</v>
      </c>
      <c r="E161" s="16">
        <f>IF(Coleta!$J161="","",Coleta!J161)</f>
        <v>3</v>
      </c>
      <c r="F161" s="16">
        <f>IF(Coleta!$J161="","",Coleta!K161)</f>
        <v>3</v>
      </c>
      <c r="G161" s="16">
        <f>IF(Coleta!$J161="","",Coleta!L161)</f>
        <v>0.66666666666666663</v>
      </c>
      <c r="H161" s="16">
        <f>IF(Coleta!$J161="","",Coleta!M161)</f>
        <v>0</v>
      </c>
      <c r="I161" s="16">
        <f>IF(Coleta!$J161="","",Coleta!P161)</f>
        <v>0.5</v>
      </c>
      <c r="J161" s="16">
        <f>IF(Coleta!$J161="","",Coleta!Q161)</f>
        <v>0</v>
      </c>
      <c r="K161" s="16" t="str">
        <f>IF(Coleta!$J161="","",Coleta!C161)</f>
        <v>Probe-DE</v>
      </c>
    </row>
    <row r="162" spans="1:11" x14ac:dyDescent="0.3">
      <c r="A162" s="16" t="str">
        <f>IF(Coleta!$J162="","",Coleta!F162)</f>
        <v>2026-10-18T16:18:00Z</v>
      </c>
      <c r="B162" s="16" t="str">
        <f>IF(Coleta!$J162="","",Coleta!B162)</f>
        <v>Probe-AR|192.168.13.10</v>
      </c>
      <c r="C162" s="16" t="str">
        <f>IF(Coleta!$J162="","",Coleta!D162)</f>
        <v>A</v>
      </c>
      <c r="D162" s="16" t="str">
        <f>IF(Coleta!$J162="","",Coleta!E162)</f>
        <v>Normal</v>
      </c>
      <c r="E162" s="16">
        <f>IF(Coleta!$J162="","",Coleta!J162)</f>
        <v>3</v>
      </c>
      <c r="F162" s="16">
        <f>IF(Coleta!$J162="","",Coleta!K162)</f>
        <v>3</v>
      </c>
      <c r="G162" s="16">
        <f>IF(Coleta!$J162="","",Coleta!L162)</f>
        <v>0.5</v>
      </c>
      <c r="H162" s="16">
        <f>IF(Coleta!$J162="","",Coleta!M162)</f>
        <v>0</v>
      </c>
      <c r="I162" s="16">
        <f>IF(Coleta!$J162="","",Coleta!P162)</f>
        <v>0</v>
      </c>
      <c r="J162" s="16">
        <f>IF(Coleta!$J162="","",Coleta!Q162)</f>
        <v>0</v>
      </c>
      <c r="K162" s="16" t="str">
        <f>IF(Coleta!$J162="","",Coleta!C162)</f>
        <v>Probe-AR</v>
      </c>
    </row>
    <row r="163" spans="1:11" x14ac:dyDescent="0.3">
      <c r="A163" s="16" t="str">
        <f>IF(Coleta!$J163="","",Coleta!F163)</f>
        <v>2026-10-18T16:19:00Z</v>
      </c>
      <c r="B163" s="16" t="str">
        <f>IF(Coleta!$J163="","",Coleta!B163)</f>
        <v>Probe-AR|192.168.13.10</v>
      </c>
      <c r="C163" s="16" t="str">
        <f>IF(Coleta!$J163="","",Coleta!D163)</f>
        <v>A</v>
      </c>
      <c r="D163" s="16" t="str">
        <f>IF(Coleta!$J163="","",Coleta!E163)</f>
        <v>Normal</v>
      </c>
      <c r="E163" s="16">
        <f>IF(Coleta!$J163="","",Coleta!J163)</f>
        <v>3</v>
      </c>
      <c r="F163" s="16">
        <f>IF(Coleta!$J163="","",Coleta!K163)</f>
        <v>3</v>
      </c>
      <c r="G163" s="16">
        <f>IF(Coleta!$J163="","",Coleta!L163)</f>
        <v>0.5</v>
      </c>
      <c r="H163" s="16">
        <f>IF(Coleta!$J163="","",Coleta!M163)</f>
        <v>0</v>
      </c>
      <c r="I163" s="16">
        <f>IF(Coleta!$J163="","",Coleta!P163)</f>
        <v>0</v>
      </c>
      <c r="J163" s="16">
        <f>IF(Coleta!$J163="","",Coleta!Q163)</f>
        <v>0</v>
      </c>
      <c r="K163" s="16" t="str">
        <f>IF(Coleta!$J163="","",Coleta!C163)</f>
        <v>Probe-AR</v>
      </c>
    </row>
    <row r="164" spans="1:11" x14ac:dyDescent="0.3">
      <c r="A164" s="16" t="str">
        <f>IF(Coleta!$J164="","",Coleta!F164)</f>
        <v>2026-10-18T16:21:00Z</v>
      </c>
      <c r="B164" s="16" t="str">
        <f>IF(Coleta!$J164="","",Coleta!B164)</f>
        <v>Probe-AR|192.168.13.10</v>
      </c>
      <c r="C164" s="16" t="str">
        <f>IF(Coleta!$J164="","",Coleta!D164)</f>
        <v>A</v>
      </c>
      <c r="D164" s="16" t="str">
        <f>IF(Coleta!$J164="","",Coleta!E164)</f>
        <v>Normal</v>
      </c>
      <c r="E164" s="16">
        <f>IF(Coleta!$J164="","",Coleta!J164)</f>
        <v>3</v>
      </c>
      <c r="F164" s="16">
        <f>IF(Coleta!$J164="","",Coleta!K164)</f>
        <v>3</v>
      </c>
      <c r="G164" s="16">
        <f>IF(Coleta!$J164="","",Coleta!L164)</f>
        <v>0.66666666666666663</v>
      </c>
      <c r="H164" s="16">
        <f>IF(Coleta!$J164="","",Coleta!M164)</f>
        <v>0</v>
      </c>
      <c r="I164" s="16">
        <f>IF(Coleta!$J164="","",Coleta!P164)</f>
        <v>0.25</v>
      </c>
      <c r="J164" s="16">
        <f>IF(Coleta!$J164="","",Coleta!Q164)</f>
        <v>0</v>
      </c>
      <c r="K164" s="16" t="str">
        <f>IF(Coleta!$J164="","",Coleta!C164)</f>
        <v>Probe-AR</v>
      </c>
    </row>
    <row r="165" spans="1:11" x14ac:dyDescent="0.3">
      <c r="A165" s="16" t="str">
        <f>IF(Coleta!$J165="","",Coleta!F165)</f>
        <v>2026-10-18T16:22:00Z</v>
      </c>
      <c r="B165" s="16" t="str">
        <f>IF(Coleta!$J165="","",Coleta!B165)</f>
        <v>Probe-AR|192.168.13.10</v>
      </c>
      <c r="C165" s="16" t="str">
        <f>IF(Coleta!$J165="","",Coleta!D165)</f>
        <v>A</v>
      </c>
      <c r="D165" s="16" t="str">
        <f>IF(Coleta!$J165="","",Coleta!E165)</f>
        <v>Normal</v>
      </c>
      <c r="E165" s="16">
        <f>IF(Coleta!$J165="","",Coleta!J165)</f>
        <v>3</v>
      </c>
      <c r="F165" s="16">
        <f>IF(Coleta!$J165="","",Coleta!K165)</f>
        <v>3</v>
      </c>
      <c r="G165" s="16">
        <f>IF(Coleta!$J165="","",Coleta!L165)</f>
        <v>0.5</v>
      </c>
      <c r="H165" s="16">
        <f>IF(Coleta!$J165="","",Coleta!M165)</f>
        <v>0</v>
      </c>
      <c r="I165" s="16">
        <f>IF(Coleta!$J165="","",Coleta!P165)</f>
        <v>0</v>
      </c>
      <c r="J165" s="16">
        <f>IF(Coleta!$J165="","",Coleta!Q165)</f>
        <v>0</v>
      </c>
      <c r="K165" s="16" t="str">
        <f>IF(Coleta!$J165="","",Coleta!C165)</f>
        <v>Probe-AR</v>
      </c>
    </row>
    <row r="166" spans="1:11" x14ac:dyDescent="0.3">
      <c r="A166" s="16" t="str">
        <f>IF(Coleta!$J166="","",Coleta!F166)</f>
        <v>2026-10-18T16:23:00Z</v>
      </c>
      <c r="B166" s="16" t="str">
        <f>IF(Coleta!$J166="","",Coleta!B166)</f>
        <v>Probe-AR|192.168.13.10</v>
      </c>
      <c r="C166" s="16" t="str">
        <f>IF(Coleta!$J166="","",Coleta!D166)</f>
        <v>A</v>
      </c>
      <c r="D166" s="16" t="str">
        <f>IF(Coleta!$J166="","",Coleta!E166)</f>
        <v>Normal</v>
      </c>
      <c r="E166" s="16">
        <f>IF(Coleta!$J166="","",Coleta!J166)</f>
        <v>3</v>
      </c>
      <c r="F166" s="16">
        <f>IF(Coleta!$J166="","",Coleta!K166)</f>
        <v>3</v>
      </c>
      <c r="G166" s="16">
        <f>IF(Coleta!$J166="","",Coleta!L166)</f>
        <v>0.5</v>
      </c>
      <c r="H166" s="16">
        <f>IF(Coleta!$J166="","",Coleta!M166)</f>
        <v>0</v>
      </c>
      <c r="I166" s="16">
        <f>IF(Coleta!$J166="","",Coleta!P166)</f>
        <v>0</v>
      </c>
      <c r="J166" s="16">
        <f>IF(Coleta!$J166="","",Coleta!Q166)</f>
        <v>0</v>
      </c>
      <c r="K166" s="16" t="str">
        <f>IF(Coleta!$J166="","",Coleta!C166)</f>
        <v>Probe-AR</v>
      </c>
    </row>
    <row r="167" spans="1:11" x14ac:dyDescent="0.3">
      <c r="A167" s="16" t="str">
        <f>IF(Coleta!$J167="","",Coleta!F167)</f>
        <v>2026-10-18T16:25:00Z</v>
      </c>
      <c r="B167" s="16" t="str">
        <f>IF(Coleta!$J167="","",Coleta!B167)</f>
        <v>Probe-AR|192.168.13.10</v>
      </c>
      <c r="C167" s="16" t="str">
        <f>IF(Coleta!$J167="","",Coleta!D167)</f>
        <v>A</v>
      </c>
      <c r="D167" s="16" t="str">
        <f>IF(Coleta!$J167="","",Coleta!E167)</f>
        <v>Normal</v>
      </c>
      <c r="E167" s="16">
        <f>IF(Coleta!$J167="","",Coleta!J167)</f>
        <v>3</v>
      </c>
      <c r="F167" s="16">
        <f>IF(Coleta!$J167="","",Coleta!K167)</f>
        <v>3</v>
      </c>
      <c r="G167" s="16">
        <f>IF(Coleta!$J167="","",Coleta!L167)</f>
        <v>5.666666666666667</v>
      </c>
      <c r="H167" s="16">
        <f>IF(Coleta!$J167="","",Coleta!M167)</f>
        <v>0</v>
      </c>
      <c r="I167" s="16">
        <f>IF(Coleta!$J167="","",Coleta!P167)</f>
        <v>7.75</v>
      </c>
      <c r="J167" s="16">
        <f>IF(Coleta!$J167="","",Coleta!Q167)</f>
        <v>0</v>
      </c>
      <c r="K167" s="16" t="str">
        <f>IF(Coleta!$J167="","",Coleta!C167)</f>
        <v>Probe-AR</v>
      </c>
    </row>
    <row r="168" spans="1:11" x14ac:dyDescent="0.3">
      <c r="A168" s="16" t="str">
        <f>IF(Coleta!$J168="","",Coleta!F168)</f>
        <v>2026-10-18T16:26:00Z</v>
      </c>
      <c r="B168" s="16" t="str">
        <f>IF(Coleta!$J168="","",Coleta!B168)</f>
        <v>Probe-AR|192.168.13.10</v>
      </c>
      <c r="C168" s="16" t="str">
        <f>IF(Coleta!$J168="","",Coleta!D168)</f>
        <v>A</v>
      </c>
      <c r="D168" s="16" t="str">
        <f>IF(Coleta!$J168="","",Coleta!E168)</f>
        <v>Normal</v>
      </c>
      <c r="E168" s="16">
        <f>IF(Coleta!$J168="","",Coleta!J168)</f>
        <v>3</v>
      </c>
      <c r="F168" s="16">
        <f>IF(Coleta!$J168="","",Coleta!K168)</f>
        <v>3</v>
      </c>
      <c r="G168" s="16">
        <f>IF(Coleta!$J168="","",Coleta!L168)</f>
        <v>0.5</v>
      </c>
      <c r="H168" s="16">
        <f>IF(Coleta!$J168="","",Coleta!M168)</f>
        <v>0</v>
      </c>
      <c r="I168" s="16">
        <f>IF(Coleta!$J168="","",Coleta!P168)</f>
        <v>0</v>
      </c>
      <c r="J168" s="16">
        <f>IF(Coleta!$J168="","",Coleta!Q168)</f>
        <v>0</v>
      </c>
      <c r="K168" s="16" t="str">
        <f>IF(Coleta!$J168="","",Coleta!C168)</f>
        <v>Probe-AR</v>
      </c>
    </row>
    <row r="169" spans="1:11" x14ac:dyDescent="0.3">
      <c r="A169" s="16" t="str">
        <f>IF(Coleta!$J169="","",Coleta!F169)</f>
        <v>2026-10-18T16:27:00Z</v>
      </c>
      <c r="B169" s="16" t="str">
        <f>IF(Coleta!$J169="","",Coleta!B169)</f>
        <v>Probe-AR|192.168.13.10</v>
      </c>
      <c r="C169" s="16" t="str">
        <f>IF(Coleta!$J169="","",Coleta!D169)</f>
        <v>A</v>
      </c>
      <c r="D169" s="16" t="str">
        <f>IF(Coleta!$J169="","",Coleta!E169)</f>
        <v>Normal</v>
      </c>
      <c r="E169" s="16">
        <f>IF(Coleta!$J169="","",Coleta!J169)</f>
        <v>3</v>
      </c>
      <c r="F169" s="16">
        <f>IF(Coleta!$J169="","",Coleta!K169)</f>
        <v>3</v>
      </c>
      <c r="G169" s="16">
        <f>IF(Coleta!$J169="","",Coleta!L169)</f>
        <v>2.6666666666666665</v>
      </c>
      <c r="H169" s="16">
        <f>IF(Coleta!$J169="","",Coleta!M169)</f>
        <v>0</v>
      </c>
      <c r="I169" s="16">
        <f>IF(Coleta!$J169="","",Coleta!P169)</f>
        <v>3.25</v>
      </c>
      <c r="J169" s="16">
        <f>IF(Coleta!$J169="","",Coleta!Q169)</f>
        <v>0</v>
      </c>
      <c r="K169" s="16" t="str">
        <f>IF(Coleta!$J169="","",Coleta!C169)</f>
        <v>Probe-AR</v>
      </c>
    </row>
    <row r="170" spans="1:11" x14ac:dyDescent="0.3">
      <c r="A170" s="16" t="str">
        <f>IF(Coleta!$J170="","",Coleta!F170)</f>
        <v>2026-10-18T16:28:00Z</v>
      </c>
      <c r="B170" s="16" t="str">
        <f>IF(Coleta!$J170="","",Coleta!B170)</f>
        <v>Probe-AR|192.168.13.10</v>
      </c>
      <c r="C170" s="16" t="str">
        <f>IF(Coleta!$J170="","",Coleta!D170)</f>
        <v>A</v>
      </c>
      <c r="D170" s="16" t="str">
        <f>IF(Coleta!$J170="","",Coleta!E170)</f>
        <v>Normal</v>
      </c>
      <c r="E170" s="16">
        <f>IF(Coleta!$J170="","",Coleta!J170)</f>
        <v>3</v>
      </c>
      <c r="F170" s="16">
        <f>IF(Coleta!$J170="","",Coleta!K170)</f>
        <v>3</v>
      </c>
      <c r="G170" s="16">
        <f>IF(Coleta!$J170="","",Coleta!L170)</f>
        <v>0.5</v>
      </c>
      <c r="H170" s="16">
        <f>IF(Coleta!$J170="","",Coleta!M170)</f>
        <v>0</v>
      </c>
      <c r="I170" s="16">
        <f>IF(Coleta!$J170="","",Coleta!P170)</f>
        <v>0</v>
      </c>
      <c r="J170" s="16">
        <f>IF(Coleta!$J170="","",Coleta!Q170)</f>
        <v>0</v>
      </c>
      <c r="K170" s="16" t="str">
        <f>IF(Coleta!$J170="","",Coleta!C170)</f>
        <v>Probe-AR</v>
      </c>
    </row>
    <row r="171" spans="1:11" x14ac:dyDescent="0.3">
      <c r="A171" s="16" t="str">
        <f>IF(Coleta!$J171="","",Coleta!F171)</f>
        <v>2026-10-18T16:31:00Z</v>
      </c>
      <c r="B171" s="16" t="str">
        <f>IF(Coleta!$J171="","",Coleta!B171)</f>
        <v>Probe-AR|192.168.13.10</v>
      </c>
      <c r="C171" s="16" t="str">
        <f>IF(Coleta!$J171="","",Coleta!D171)</f>
        <v>A</v>
      </c>
      <c r="D171" s="16" t="str">
        <f>IF(Coleta!$J171="","",Coleta!E171)</f>
        <v>Normal</v>
      </c>
      <c r="E171" s="16">
        <f>IF(Coleta!$J171="","",Coleta!J171)</f>
        <v>3</v>
      </c>
      <c r="F171" s="16">
        <f>IF(Coleta!$J171="","",Coleta!K171)</f>
        <v>3</v>
      </c>
      <c r="G171" s="16">
        <f>IF(Coleta!$J171="","",Coleta!L171)</f>
        <v>0.5</v>
      </c>
      <c r="H171" s="16">
        <f>IF(Coleta!$J171="","",Coleta!M171)</f>
        <v>0</v>
      </c>
      <c r="I171" s="16">
        <f>IF(Coleta!$J171="","",Coleta!P171)</f>
        <v>0</v>
      </c>
      <c r="J171" s="16">
        <f>IF(Coleta!$J171="","",Coleta!Q171)</f>
        <v>0</v>
      </c>
      <c r="K171" s="16" t="str">
        <f>IF(Coleta!$J171="","",Coleta!C171)</f>
        <v>Probe-AR</v>
      </c>
    </row>
    <row r="172" spans="1:11" x14ac:dyDescent="0.3">
      <c r="A172" s="16" t="str">
        <f>IF(Coleta!$J172="","",Coleta!F172)</f>
        <v>2026-10-18T16:32:00Z</v>
      </c>
      <c r="B172" s="16" t="str">
        <f>IF(Coleta!$J172="","",Coleta!B172)</f>
        <v>Probe-AR|192.168.13.10</v>
      </c>
      <c r="C172" s="16" t="str">
        <f>IF(Coleta!$J172="","",Coleta!D172)</f>
        <v>A</v>
      </c>
      <c r="D172" s="16" t="str">
        <f>IF(Coleta!$J172="","",Coleta!E172)</f>
        <v>Normal</v>
      </c>
      <c r="E172" s="16">
        <f>IF(Coleta!$J172="","",Coleta!J172)</f>
        <v>3</v>
      </c>
      <c r="F172" s="16">
        <f>IF(Coleta!$J172="","",Coleta!K172)</f>
        <v>3</v>
      </c>
      <c r="G172" s="16">
        <f>IF(Coleta!$J172="","",Coleta!L172)</f>
        <v>0.5</v>
      </c>
      <c r="H172" s="16">
        <f>IF(Coleta!$J172="","",Coleta!M172)</f>
        <v>0</v>
      </c>
      <c r="I172" s="16">
        <f>IF(Coleta!$J172="","",Coleta!P172)</f>
        <v>0</v>
      </c>
      <c r="J172" s="16">
        <f>IF(Coleta!$J172="","",Coleta!Q172)</f>
        <v>0</v>
      </c>
      <c r="K172" s="16" t="str">
        <f>IF(Coleta!$J172="","",Coleta!C172)</f>
        <v>Probe-AR</v>
      </c>
    </row>
    <row r="173" spans="1:11" x14ac:dyDescent="0.3">
      <c r="A173" s="16" t="str">
        <f>IF(Coleta!$J173="","",Coleta!F173)</f>
        <v>2026-10-18T16:34:00Z</v>
      </c>
      <c r="B173" s="16" t="str">
        <f>IF(Coleta!$J173="","",Coleta!B173)</f>
        <v>Probe-AR|192.168.13.10</v>
      </c>
      <c r="C173" s="16" t="str">
        <f>IF(Coleta!$J173="","",Coleta!D173)</f>
        <v>A</v>
      </c>
      <c r="D173" s="16" t="str">
        <f>IF(Coleta!$J173="","",Coleta!E173)</f>
        <v>Normal</v>
      </c>
      <c r="E173" s="16">
        <f>IF(Coleta!$J173="","",Coleta!J173)</f>
        <v>3</v>
      </c>
      <c r="F173" s="16">
        <f>IF(Coleta!$J173="","",Coleta!K173)</f>
        <v>3</v>
      </c>
      <c r="G173" s="16">
        <f>IF(Coleta!$J173="","",Coleta!L173)</f>
        <v>0.5</v>
      </c>
      <c r="H173" s="16">
        <f>IF(Coleta!$J173="","",Coleta!M173)</f>
        <v>0</v>
      </c>
      <c r="I173" s="16">
        <f>IF(Coleta!$J173="","",Coleta!P173)</f>
        <v>0</v>
      </c>
      <c r="J173" s="16">
        <f>IF(Coleta!$J173="","",Coleta!Q173)</f>
        <v>0</v>
      </c>
      <c r="K173" s="16" t="str">
        <f>IF(Coleta!$J173="","",Coleta!C173)</f>
        <v>Probe-AR</v>
      </c>
    </row>
    <row r="174" spans="1:11" x14ac:dyDescent="0.3">
      <c r="A174" s="16" t="str">
        <f>IF(Coleta!$J174="","",Coleta!F174)</f>
        <v>2026-10-18T16:35:00Z</v>
      </c>
      <c r="B174" s="16" t="str">
        <f>IF(Coleta!$J174="","",Coleta!B174)</f>
        <v>Probe-AR|192.168.13.10</v>
      </c>
      <c r="C174" s="16" t="str">
        <f>IF(Coleta!$J174="","",Coleta!D174)</f>
        <v>A</v>
      </c>
      <c r="D174" s="16" t="str">
        <f>IF(Coleta!$J174="","",Coleta!E174)</f>
        <v>Normal</v>
      </c>
      <c r="E174" s="16">
        <f>IF(Coleta!$J174="","",Coleta!J174)</f>
        <v>3</v>
      </c>
      <c r="F174" s="16">
        <f>IF(Coleta!$J174="","",Coleta!K174)</f>
        <v>3</v>
      </c>
      <c r="G174" s="16">
        <f>IF(Coleta!$J174="","",Coleta!L174)</f>
        <v>0.5</v>
      </c>
      <c r="H174" s="16">
        <f>IF(Coleta!$J174="","",Coleta!M174)</f>
        <v>0</v>
      </c>
      <c r="I174" s="16">
        <f>IF(Coleta!$J174="","",Coleta!P174)</f>
        <v>0</v>
      </c>
      <c r="J174" s="16">
        <f>IF(Coleta!$J174="","",Coleta!Q174)</f>
        <v>0</v>
      </c>
      <c r="K174" s="16" t="str">
        <f>IF(Coleta!$J174="","",Coleta!C174)</f>
        <v>Probe-AR</v>
      </c>
    </row>
    <row r="175" spans="1:11" x14ac:dyDescent="0.3">
      <c r="A175" s="16" t="str">
        <f>IF(Coleta!$J175="","",Coleta!F175)</f>
        <v>2026-10-18T16:36:00Z</v>
      </c>
      <c r="B175" s="16" t="str">
        <f>IF(Coleta!$J175="","",Coleta!B175)</f>
        <v>Probe-AR|192.168.13.10</v>
      </c>
      <c r="C175" s="16" t="str">
        <f>IF(Coleta!$J175="","",Coleta!D175)</f>
        <v>A</v>
      </c>
      <c r="D175" s="16" t="str">
        <f>IF(Coleta!$J175="","",Coleta!E175)</f>
        <v>Normal</v>
      </c>
      <c r="E175" s="16">
        <f>IF(Coleta!$J175="","",Coleta!J175)</f>
        <v>3</v>
      </c>
      <c r="F175" s="16">
        <f>IF(Coleta!$J175="","",Coleta!K175)</f>
        <v>3</v>
      </c>
      <c r="G175" s="16">
        <f>IF(Coleta!$J175="","",Coleta!L175)</f>
        <v>0.5</v>
      </c>
      <c r="H175" s="16">
        <f>IF(Coleta!$J175="","",Coleta!M175)</f>
        <v>0</v>
      </c>
      <c r="I175" s="16">
        <f>IF(Coleta!$J175="","",Coleta!P175)</f>
        <v>0</v>
      </c>
      <c r="J175" s="16">
        <f>IF(Coleta!$J175="","",Coleta!Q175)</f>
        <v>0</v>
      </c>
      <c r="K175" s="16" t="str">
        <f>IF(Coleta!$J175="","",Coleta!C175)</f>
        <v>Probe-AR</v>
      </c>
    </row>
    <row r="176" spans="1:11" x14ac:dyDescent="0.3">
      <c r="A176" s="16" t="str">
        <f>IF(Coleta!$J176="","",Coleta!F176)</f>
        <v>2026-10-18T16:37:00Z</v>
      </c>
      <c r="B176" s="16" t="str">
        <f>IF(Coleta!$J176="","",Coleta!B176)</f>
        <v>Probe-AR|192.168.13.10</v>
      </c>
      <c r="C176" s="16" t="str">
        <f>IF(Coleta!$J176="","",Coleta!D176)</f>
        <v>A</v>
      </c>
      <c r="D176" s="16" t="str">
        <f>IF(Coleta!$J176="","",Coleta!E176)</f>
        <v>Normal</v>
      </c>
      <c r="E176" s="16">
        <f>IF(Coleta!$J176="","",Coleta!J176)</f>
        <v>3</v>
      </c>
      <c r="F176" s="16">
        <f>IF(Coleta!$J176="","",Coleta!K176)</f>
        <v>3</v>
      </c>
      <c r="G176" s="16">
        <f>IF(Coleta!$J176="","",Coleta!L176)</f>
        <v>0.5</v>
      </c>
      <c r="H176" s="16">
        <f>IF(Coleta!$J176="","",Coleta!M176)</f>
        <v>0</v>
      </c>
      <c r="I176" s="16">
        <f>IF(Coleta!$J176="","",Coleta!P176)</f>
        <v>0</v>
      </c>
      <c r="J176" s="16">
        <f>IF(Coleta!$J176="","",Coleta!Q176)</f>
        <v>0</v>
      </c>
      <c r="K176" s="16" t="str">
        <f>IF(Coleta!$J176="","",Coleta!C176)</f>
        <v>Probe-AR</v>
      </c>
    </row>
    <row r="177" spans="1:11" x14ac:dyDescent="0.3">
      <c r="A177" s="16" t="str">
        <f>IF(Coleta!$J177="","",Coleta!F177)</f>
        <v>2026-10-18T16:38:00Z</v>
      </c>
      <c r="B177" s="16" t="str">
        <f>IF(Coleta!$J177="","",Coleta!B177)</f>
        <v>Probe-AR|192.168.13.10</v>
      </c>
      <c r="C177" s="16" t="str">
        <f>IF(Coleta!$J177="","",Coleta!D177)</f>
        <v>A</v>
      </c>
      <c r="D177" s="16" t="str">
        <f>IF(Coleta!$J177="","",Coleta!E177)</f>
        <v>Normal</v>
      </c>
      <c r="E177" s="16">
        <f>IF(Coleta!$J177="","",Coleta!J177)</f>
        <v>3</v>
      </c>
      <c r="F177" s="16">
        <f>IF(Coleta!$J177="","",Coleta!K177)</f>
        <v>3</v>
      </c>
      <c r="G177" s="16">
        <f>IF(Coleta!$J177="","",Coleta!L177)</f>
        <v>0.5</v>
      </c>
      <c r="H177" s="16">
        <f>IF(Coleta!$J177="","",Coleta!M177)</f>
        <v>0</v>
      </c>
      <c r="I177" s="16">
        <f>IF(Coleta!$J177="","",Coleta!P177)</f>
        <v>0</v>
      </c>
      <c r="J177" s="16">
        <f>IF(Coleta!$J177="","",Coleta!Q177)</f>
        <v>0</v>
      </c>
      <c r="K177" s="16" t="str">
        <f>IF(Coleta!$J177="","",Coleta!C177)</f>
        <v>Probe-AR</v>
      </c>
    </row>
    <row r="178" spans="1:11" x14ac:dyDescent="0.3">
      <c r="A178" s="16" t="str">
        <f>IF(Coleta!$J178="","",Coleta!F178)</f>
        <v>2026-10-18T16:40:00Z</v>
      </c>
      <c r="B178" s="16" t="str">
        <f>IF(Coleta!$J178="","",Coleta!B178)</f>
        <v>Probe-AR|192.168.13.10</v>
      </c>
      <c r="C178" s="16" t="str">
        <f>IF(Coleta!$J178="","",Coleta!D178)</f>
        <v>A</v>
      </c>
      <c r="D178" s="16" t="str">
        <f>IF(Coleta!$J178="","",Coleta!E178)</f>
        <v>Normal</v>
      </c>
      <c r="E178" s="16">
        <f>IF(Coleta!$J178="","",Coleta!J178)</f>
        <v>3</v>
      </c>
      <c r="F178" s="16">
        <f>IF(Coleta!$J178="","",Coleta!K178)</f>
        <v>3</v>
      </c>
      <c r="G178" s="16">
        <f>IF(Coleta!$J178="","",Coleta!L178)</f>
        <v>0.5</v>
      </c>
      <c r="H178" s="16">
        <f>IF(Coleta!$J178="","",Coleta!M178)</f>
        <v>0</v>
      </c>
      <c r="I178" s="16">
        <f>IF(Coleta!$J178="","",Coleta!P178)</f>
        <v>0</v>
      </c>
      <c r="J178" s="16">
        <f>IF(Coleta!$J178="","",Coleta!Q178)</f>
        <v>0</v>
      </c>
      <c r="K178" s="16" t="str">
        <f>IF(Coleta!$J178="","",Coleta!C178)</f>
        <v>Probe-AR</v>
      </c>
    </row>
    <row r="179" spans="1:11" x14ac:dyDescent="0.3">
      <c r="A179" s="16" t="str">
        <f>IF(Coleta!$J179="","",Coleta!F179)</f>
        <v>2026-10-18T16:40:00Z</v>
      </c>
      <c r="B179" s="16" t="str">
        <f>IF(Coleta!$J179="","",Coleta!B179)</f>
        <v>Probe-AR|192.168.13.10</v>
      </c>
      <c r="C179" s="16" t="str">
        <f>IF(Coleta!$J179="","",Coleta!D179)</f>
        <v>A</v>
      </c>
      <c r="D179" s="16" t="str">
        <f>IF(Coleta!$J179="","",Coleta!E179)</f>
        <v>Normal</v>
      </c>
      <c r="E179" s="16">
        <f>IF(Coleta!$J179="","",Coleta!J179)</f>
        <v>3</v>
      </c>
      <c r="F179" s="16">
        <f>IF(Coleta!$J179="","",Coleta!K179)</f>
        <v>3</v>
      </c>
      <c r="G179" s="16">
        <f>IF(Coleta!$J179="","",Coleta!L179)</f>
        <v>5.333333333333333</v>
      </c>
      <c r="H179" s="16">
        <f>IF(Coleta!$J179="","",Coleta!M179)</f>
        <v>0</v>
      </c>
      <c r="I179" s="16">
        <f>IF(Coleta!$J179="","",Coleta!P179)</f>
        <v>14.5</v>
      </c>
      <c r="J179" s="16">
        <f>IF(Coleta!$J179="","",Coleta!Q179)</f>
        <v>0</v>
      </c>
      <c r="K179" s="16" t="str">
        <f>IF(Coleta!$J179="","",Coleta!C179)</f>
        <v>Probe-AR</v>
      </c>
    </row>
    <row r="180" spans="1:11" x14ac:dyDescent="0.3">
      <c r="A180" s="16" t="str">
        <f>IF(Coleta!$J180="","",Coleta!F180)</f>
        <v>2026-10-18T16:42:00Z</v>
      </c>
      <c r="B180" s="16" t="str">
        <f>IF(Coleta!$J180="","",Coleta!B180)</f>
        <v>Probe-AR|192.168.13.10</v>
      </c>
      <c r="C180" s="16" t="str">
        <f>IF(Coleta!$J180="","",Coleta!D180)</f>
        <v>A</v>
      </c>
      <c r="D180" s="16" t="str">
        <f>IF(Coleta!$J180="","",Coleta!E180)</f>
        <v>Normal</v>
      </c>
      <c r="E180" s="16">
        <f>IF(Coleta!$J180="","",Coleta!J180)</f>
        <v>3</v>
      </c>
      <c r="F180" s="16">
        <f>IF(Coleta!$J180="","",Coleta!K180)</f>
        <v>3</v>
      </c>
      <c r="G180" s="16">
        <f>IF(Coleta!$J180="","",Coleta!L180)</f>
        <v>0.5</v>
      </c>
      <c r="H180" s="16">
        <f>IF(Coleta!$J180="","",Coleta!M180)</f>
        <v>0</v>
      </c>
      <c r="I180" s="16">
        <f>IF(Coleta!$J180="","",Coleta!P180)</f>
        <v>0</v>
      </c>
      <c r="J180" s="16">
        <f>IF(Coleta!$J180="","",Coleta!Q180)</f>
        <v>0</v>
      </c>
      <c r="K180" s="16" t="str">
        <f>IF(Coleta!$J180="","",Coleta!C180)</f>
        <v>Probe-AR</v>
      </c>
    </row>
    <row r="181" spans="1:11" x14ac:dyDescent="0.3">
      <c r="A181" s="16" t="str">
        <f>IF(Coleta!$J181="","",Coleta!F181)</f>
        <v>2026-10-18T16:44:00Z</v>
      </c>
      <c r="B181" s="16" t="str">
        <f>IF(Coleta!$J181="","",Coleta!B181)</f>
        <v>Probe-AR|192.168.13.10</v>
      </c>
      <c r="C181" s="16" t="str">
        <f>IF(Coleta!$J181="","",Coleta!D181)</f>
        <v>A</v>
      </c>
      <c r="D181" s="16" t="str">
        <f>IF(Coleta!$J181="","",Coleta!E181)</f>
        <v>Normal</v>
      </c>
      <c r="E181" s="16">
        <f>IF(Coleta!$J181="","",Coleta!J181)</f>
        <v>3</v>
      </c>
      <c r="F181" s="16">
        <f>IF(Coleta!$J181="","",Coleta!K181)</f>
        <v>3</v>
      </c>
      <c r="G181" s="16">
        <f>IF(Coleta!$J181="","",Coleta!L181)</f>
        <v>0.5</v>
      </c>
      <c r="H181" s="16">
        <f>IF(Coleta!$J181="","",Coleta!M181)</f>
        <v>0</v>
      </c>
      <c r="I181" s="16">
        <f>IF(Coleta!$J181="","",Coleta!P181)</f>
        <v>0</v>
      </c>
      <c r="J181" s="16">
        <f>IF(Coleta!$J181="","",Coleta!Q181)</f>
        <v>0</v>
      </c>
      <c r="K181" s="16" t="str">
        <f>IF(Coleta!$J181="","",Coleta!C181)</f>
        <v>Probe-AR</v>
      </c>
    </row>
    <row r="182" spans="1:11" x14ac:dyDescent="0.3">
      <c r="A182" s="16" t="str">
        <f>IF(Coleta!$J182="","",Coleta!F182)</f>
        <v>2026-10-18T16:54:00Z</v>
      </c>
      <c r="B182" s="16" t="str">
        <f>IF(Coleta!$J182="","",Coleta!B182)</f>
        <v>Probe-ES|192.168.23.10</v>
      </c>
      <c r="C182" s="16" t="str">
        <f>IF(Coleta!$J182="","",Coleta!D182)</f>
        <v>A</v>
      </c>
      <c r="D182" s="16" t="str">
        <f>IF(Coleta!$J182="","",Coleta!E182)</f>
        <v>Normal</v>
      </c>
      <c r="E182" s="16">
        <f>IF(Coleta!$J182="","",Coleta!J182)</f>
        <v>3</v>
      </c>
      <c r="F182" s="16">
        <f>IF(Coleta!$J182="","",Coleta!K182)</f>
        <v>3</v>
      </c>
      <c r="G182" s="16">
        <f>IF(Coleta!$J182="","",Coleta!L182)</f>
        <v>0.66666666666666663</v>
      </c>
      <c r="H182" s="16">
        <f>IF(Coleta!$J182="","",Coleta!M182)</f>
        <v>0</v>
      </c>
      <c r="I182" s="16">
        <f>IF(Coleta!$J182="","",Coleta!P182)</f>
        <v>0.5</v>
      </c>
      <c r="J182" s="16">
        <f>IF(Coleta!$J182="","",Coleta!Q182)</f>
        <v>0</v>
      </c>
      <c r="K182" s="16" t="str">
        <f>IF(Coleta!$J182="","",Coleta!C182)</f>
        <v>Probe-ES</v>
      </c>
    </row>
    <row r="183" spans="1:11" x14ac:dyDescent="0.3">
      <c r="A183" s="16" t="str">
        <f>IF(Coleta!$J183="","",Coleta!F183)</f>
        <v>2026-10-18T16:56:00Z</v>
      </c>
      <c r="B183" s="16" t="str">
        <f>IF(Coleta!$J183="","",Coleta!B183)</f>
        <v>Probe-ES|192.168.23.10</v>
      </c>
      <c r="C183" s="16" t="str">
        <f>IF(Coleta!$J183="","",Coleta!D183)</f>
        <v>A</v>
      </c>
      <c r="D183" s="16" t="str">
        <f>IF(Coleta!$J183="","",Coleta!E183)</f>
        <v>Normal</v>
      </c>
      <c r="E183" s="16">
        <f>IF(Coleta!$J183="","",Coleta!J183)</f>
        <v>3</v>
      </c>
      <c r="F183" s="16">
        <f>IF(Coleta!$J183="","",Coleta!K183)</f>
        <v>3</v>
      </c>
      <c r="G183" s="16">
        <f>IF(Coleta!$J183="","",Coleta!L183)</f>
        <v>0.5</v>
      </c>
      <c r="H183" s="16">
        <f>IF(Coleta!$J183="","",Coleta!M183)</f>
        <v>0</v>
      </c>
      <c r="I183" s="16">
        <f>IF(Coleta!$J183="","",Coleta!P183)</f>
        <v>0</v>
      </c>
      <c r="J183" s="16">
        <f>IF(Coleta!$J183="","",Coleta!Q183)</f>
        <v>0</v>
      </c>
      <c r="K183" s="16" t="str">
        <f>IF(Coleta!$J183="","",Coleta!C183)</f>
        <v>Probe-ES</v>
      </c>
    </row>
    <row r="184" spans="1:11" x14ac:dyDescent="0.3">
      <c r="A184" s="16" t="str">
        <f>IF(Coleta!$J184="","",Coleta!F184)</f>
        <v>2026-10-18T16:58:00Z</v>
      </c>
      <c r="B184" s="16" t="str">
        <f>IF(Coleta!$J184="","",Coleta!B184)</f>
        <v>Probe-ES|192.168.23.10</v>
      </c>
      <c r="C184" s="16" t="str">
        <f>IF(Coleta!$J184="","",Coleta!D184)</f>
        <v>A</v>
      </c>
      <c r="D184" s="16" t="str">
        <f>IF(Coleta!$J184="","",Coleta!E184)</f>
        <v>Normal</v>
      </c>
      <c r="E184" s="16">
        <f>IF(Coleta!$J184="","",Coleta!J184)</f>
        <v>3</v>
      </c>
      <c r="F184" s="16">
        <f>IF(Coleta!$J184="","",Coleta!K184)</f>
        <v>3</v>
      </c>
      <c r="G184" s="16">
        <f>IF(Coleta!$J184="","",Coleta!L184)</f>
        <v>0.5</v>
      </c>
      <c r="H184" s="16">
        <f>IF(Coleta!$J184="","",Coleta!M184)</f>
        <v>0</v>
      </c>
      <c r="I184" s="16">
        <f>IF(Coleta!$J184="","",Coleta!P184)</f>
        <v>0</v>
      </c>
      <c r="J184" s="16">
        <f>IF(Coleta!$J184="","",Coleta!Q184)</f>
        <v>0</v>
      </c>
      <c r="K184" s="16" t="str">
        <f>IF(Coleta!$J184="","",Coleta!C184)</f>
        <v>Probe-ES</v>
      </c>
    </row>
    <row r="185" spans="1:11" x14ac:dyDescent="0.3">
      <c r="A185" s="16" t="str">
        <f>IF(Coleta!$J185="","",Coleta!F185)</f>
        <v>2026-10-18T17:00:00Z</v>
      </c>
      <c r="B185" s="16" t="str">
        <f>IF(Coleta!$J185="","",Coleta!B185)</f>
        <v>Probe-ES|192.168.23.10</v>
      </c>
      <c r="C185" s="16" t="str">
        <f>IF(Coleta!$J185="","",Coleta!D185)</f>
        <v>A</v>
      </c>
      <c r="D185" s="16" t="str">
        <f>IF(Coleta!$J185="","",Coleta!E185)</f>
        <v>Normal</v>
      </c>
      <c r="E185" s="16">
        <f>IF(Coleta!$J185="","",Coleta!J185)</f>
        <v>3</v>
      </c>
      <c r="F185" s="16">
        <f>IF(Coleta!$J185="","",Coleta!K185)</f>
        <v>3</v>
      </c>
      <c r="G185" s="16">
        <f>IF(Coleta!$J185="","",Coleta!L185)</f>
        <v>0.5</v>
      </c>
      <c r="H185" s="16">
        <f>IF(Coleta!$J185="","",Coleta!M185)</f>
        <v>0</v>
      </c>
      <c r="I185" s="16">
        <f>IF(Coleta!$J185="","",Coleta!P185)</f>
        <v>0</v>
      </c>
      <c r="J185" s="16">
        <f>IF(Coleta!$J185="","",Coleta!Q185)</f>
        <v>0</v>
      </c>
      <c r="K185" s="16" t="str">
        <f>IF(Coleta!$J185="","",Coleta!C185)</f>
        <v>Probe-ES</v>
      </c>
    </row>
    <row r="186" spans="1:11" x14ac:dyDescent="0.3">
      <c r="A186" s="16" t="str">
        <f>IF(Coleta!$J186="","",Coleta!F186)</f>
        <v>2026-10-18T17:01:00Z</v>
      </c>
      <c r="B186" s="16" t="str">
        <f>IF(Coleta!$J186="","",Coleta!B186)</f>
        <v>Probe-ES|192.168.23.10</v>
      </c>
      <c r="C186" s="16" t="str">
        <f>IF(Coleta!$J186="","",Coleta!D186)</f>
        <v>A</v>
      </c>
      <c r="D186" s="16" t="str">
        <f>IF(Coleta!$J186="","",Coleta!E186)</f>
        <v>Normal</v>
      </c>
      <c r="E186" s="16">
        <f>IF(Coleta!$J186="","",Coleta!J186)</f>
        <v>3</v>
      </c>
      <c r="F186" s="16">
        <f>IF(Coleta!$J186="","",Coleta!K186)</f>
        <v>3</v>
      </c>
      <c r="G186" s="16">
        <f>IF(Coleta!$J186="","",Coleta!L186)</f>
        <v>0.5</v>
      </c>
      <c r="H186" s="16">
        <f>IF(Coleta!$J186="","",Coleta!M186)</f>
        <v>0</v>
      </c>
      <c r="I186" s="16">
        <f>IF(Coleta!$J186="","",Coleta!P186)</f>
        <v>0</v>
      </c>
      <c r="J186" s="16">
        <f>IF(Coleta!$J186="","",Coleta!Q186)</f>
        <v>0</v>
      </c>
      <c r="K186" s="16" t="str">
        <f>IF(Coleta!$J186="","",Coleta!C186)</f>
        <v>Probe-ES</v>
      </c>
    </row>
    <row r="187" spans="1:11" x14ac:dyDescent="0.3">
      <c r="A187" s="16" t="str">
        <f>IF(Coleta!$J187="","",Coleta!F187)</f>
        <v>2026-10-18T17:03:00Z</v>
      </c>
      <c r="B187" s="16" t="str">
        <f>IF(Coleta!$J187="","",Coleta!B187)</f>
        <v>Probe-ES|192.168.23.10</v>
      </c>
      <c r="C187" s="16" t="str">
        <f>IF(Coleta!$J187="","",Coleta!D187)</f>
        <v>A</v>
      </c>
      <c r="D187" s="16" t="str">
        <f>IF(Coleta!$J187="","",Coleta!E187)</f>
        <v>Normal</v>
      </c>
      <c r="E187" s="16">
        <f>IF(Coleta!$J187="","",Coleta!J187)</f>
        <v>3</v>
      </c>
      <c r="F187" s="16">
        <f>IF(Coleta!$J187="","",Coleta!K187)</f>
        <v>3</v>
      </c>
      <c r="G187" s="16">
        <f>IF(Coleta!$J187="","",Coleta!L187)</f>
        <v>0.66666666666666663</v>
      </c>
      <c r="H187" s="16">
        <f>IF(Coleta!$J187="","",Coleta!M187)</f>
        <v>0</v>
      </c>
      <c r="I187" s="16">
        <f>IF(Coleta!$J187="","",Coleta!P187)</f>
        <v>0.25</v>
      </c>
      <c r="J187" s="16">
        <f>IF(Coleta!$J187="","",Coleta!Q187)</f>
        <v>0</v>
      </c>
      <c r="K187" s="16" t="str">
        <f>IF(Coleta!$J187="","",Coleta!C187)</f>
        <v>Probe-ES</v>
      </c>
    </row>
    <row r="188" spans="1:11" x14ac:dyDescent="0.3">
      <c r="A188" s="16" t="str">
        <f>IF(Coleta!$J188="","",Coleta!F188)</f>
        <v>2026-10-18T17:04:00Z</v>
      </c>
      <c r="B188" s="16" t="str">
        <f>IF(Coleta!$J188="","",Coleta!B188)</f>
        <v>Probe-ES|192.168.23.10</v>
      </c>
      <c r="C188" s="16" t="str">
        <f>IF(Coleta!$J188="","",Coleta!D188)</f>
        <v>A</v>
      </c>
      <c r="D188" s="16" t="str">
        <f>IF(Coleta!$J188="","",Coleta!E188)</f>
        <v>Normal</v>
      </c>
      <c r="E188" s="16">
        <f>IF(Coleta!$J188="","",Coleta!J188)</f>
        <v>3</v>
      </c>
      <c r="F188" s="16">
        <f>IF(Coleta!$J188="","",Coleta!K188)</f>
        <v>3</v>
      </c>
      <c r="G188" s="16">
        <f>IF(Coleta!$J188="","",Coleta!L188)</f>
        <v>0.5</v>
      </c>
      <c r="H188" s="16">
        <f>IF(Coleta!$J188="","",Coleta!M188)</f>
        <v>0</v>
      </c>
      <c r="I188" s="16">
        <f>IF(Coleta!$J188="","",Coleta!P188)</f>
        <v>0</v>
      </c>
      <c r="J188" s="16">
        <f>IF(Coleta!$J188="","",Coleta!Q188)</f>
        <v>0</v>
      </c>
      <c r="K188" s="16" t="str">
        <f>IF(Coleta!$J188="","",Coleta!C188)</f>
        <v>Probe-ES</v>
      </c>
    </row>
    <row r="189" spans="1:11" x14ac:dyDescent="0.3">
      <c r="A189" s="16" t="str">
        <f>IF(Coleta!$J189="","",Coleta!F189)</f>
        <v>2026-10-18T17:05:00Z</v>
      </c>
      <c r="B189" s="16" t="str">
        <f>IF(Coleta!$J189="","",Coleta!B189)</f>
        <v>Probe-ES|192.168.23.10</v>
      </c>
      <c r="C189" s="16" t="str">
        <f>IF(Coleta!$J189="","",Coleta!D189)</f>
        <v>A</v>
      </c>
      <c r="D189" s="16" t="str">
        <f>IF(Coleta!$J189="","",Coleta!E189)</f>
        <v>Normal</v>
      </c>
      <c r="E189" s="16">
        <f>IF(Coleta!$J189="","",Coleta!J189)</f>
        <v>3</v>
      </c>
      <c r="F189" s="16">
        <f>IF(Coleta!$J189="","",Coleta!K189)</f>
        <v>3</v>
      </c>
      <c r="G189" s="16">
        <f>IF(Coleta!$J189="","",Coleta!L189)</f>
        <v>0.5</v>
      </c>
      <c r="H189" s="16">
        <f>IF(Coleta!$J189="","",Coleta!M189)</f>
        <v>0</v>
      </c>
      <c r="I189" s="16">
        <f>IF(Coleta!$J189="","",Coleta!P189)</f>
        <v>0</v>
      </c>
      <c r="J189" s="16">
        <f>IF(Coleta!$J189="","",Coleta!Q189)</f>
        <v>0</v>
      </c>
      <c r="K189" s="16" t="str">
        <f>IF(Coleta!$J189="","",Coleta!C189)</f>
        <v>Probe-ES</v>
      </c>
    </row>
    <row r="190" spans="1:11" x14ac:dyDescent="0.3">
      <c r="A190" s="16" t="str">
        <f>IF(Coleta!$J190="","",Coleta!F190)</f>
        <v>2026-10-18T17:06:00Z</v>
      </c>
      <c r="B190" s="16" t="str">
        <f>IF(Coleta!$J190="","",Coleta!B190)</f>
        <v>Probe-ES|192.168.23.10</v>
      </c>
      <c r="C190" s="16" t="str">
        <f>IF(Coleta!$J190="","",Coleta!D190)</f>
        <v>A</v>
      </c>
      <c r="D190" s="16" t="str">
        <f>IF(Coleta!$J190="","",Coleta!E190)</f>
        <v>Normal</v>
      </c>
      <c r="E190" s="16">
        <f>IF(Coleta!$J190="","",Coleta!J190)</f>
        <v>3</v>
      </c>
      <c r="F190" s="16">
        <f>IF(Coleta!$J190="","",Coleta!K190)</f>
        <v>3</v>
      </c>
      <c r="G190" s="16">
        <f>IF(Coleta!$J190="","",Coleta!L190)</f>
        <v>0.5</v>
      </c>
      <c r="H190" s="16">
        <f>IF(Coleta!$J190="","",Coleta!M190)</f>
        <v>0</v>
      </c>
      <c r="I190" s="16">
        <f>IF(Coleta!$J190="","",Coleta!P190)</f>
        <v>0</v>
      </c>
      <c r="J190" s="16">
        <f>IF(Coleta!$J190="","",Coleta!Q190)</f>
        <v>0</v>
      </c>
      <c r="K190" s="16" t="str">
        <f>IF(Coleta!$J190="","",Coleta!C190)</f>
        <v>Probe-ES</v>
      </c>
    </row>
    <row r="191" spans="1:11" x14ac:dyDescent="0.3">
      <c r="A191" s="16" t="str">
        <f>IF(Coleta!$J191="","",Coleta!F191)</f>
        <v>2026-10-18T17:09:00Z</v>
      </c>
      <c r="B191" s="16" t="str">
        <f>IF(Coleta!$J191="","",Coleta!B191)</f>
        <v>Probe-ES|192.168.23.10</v>
      </c>
      <c r="C191" s="16" t="str">
        <f>IF(Coleta!$J191="","",Coleta!D191)</f>
        <v>A</v>
      </c>
      <c r="D191" s="16" t="str">
        <f>IF(Coleta!$J191="","",Coleta!E191)</f>
        <v>Normal</v>
      </c>
      <c r="E191" s="16">
        <f>IF(Coleta!$J191="","",Coleta!J191)</f>
        <v>3</v>
      </c>
      <c r="F191" s="16">
        <f>IF(Coleta!$J191="","",Coleta!K191)</f>
        <v>3</v>
      </c>
      <c r="G191" s="16">
        <f>IF(Coleta!$J191="","",Coleta!L191)</f>
        <v>0.5</v>
      </c>
      <c r="H191" s="16">
        <f>IF(Coleta!$J191="","",Coleta!M191)</f>
        <v>0</v>
      </c>
      <c r="I191" s="16">
        <f>IF(Coleta!$J191="","",Coleta!P191)</f>
        <v>0</v>
      </c>
      <c r="J191" s="16">
        <f>IF(Coleta!$J191="","",Coleta!Q191)</f>
        <v>0</v>
      </c>
      <c r="K191" s="16" t="str">
        <f>IF(Coleta!$J191="","",Coleta!C191)</f>
        <v>Probe-ES</v>
      </c>
    </row>
    <row r="192" spans="1:11" x14ac:dyDescent="0.3">
      <c r="A192" s="16" t="str">
        <f>IF(Coleta!$J192="","",Coleta!F192)</f>
        <v>2026-10-18T17:10:00Z</v>
      </c>
      <c r="B192" s="16" t="str">
        <f>IF(Coleta!$J192="","",Coleta!B192)</f>
        <v>Probe-ES|192.168.23.10</v>
      </c>
      <c r="C192" s="16" t="str">
        <f>IF(Coleta!$J192="","",Coleta!D192)</f>
        <v>A</v>
      </c>
      <c r="D192" s="16" t="str">
        <f>IF(Coleta!$J192="","",Coleta!E192)</f>
        <v>Normal</v>
      </c>
      <c r="E192" s="16">
        <f>IF(Coleta!$J192="","",Coleta!J192)</f>
        <v>3</v>
      </c>
      <c r="F192" s="16">
        <f>IF(Coleta!$J192="","",Coleta!K192)</f>
        <v>3</v>
      </c>
      <c r="G192" s="16">
        <f>IF(Coleta!$J192="","",Coleta!L192)</f>
        <v>0.5</v>
      </c>
      <c r="H192" s="16">
        <f>IF(Coleta!$J192="","",Coleta!M192)</f>
        <v>0</v>
      </c>
      <c r="I192" s="16">
        <f>IF(Coleta!$J192="","",Coleta!P192)</f>
        <v>0</v>
      </c>
      <c r="J192" s="16">
        <f>IF(Coleta!$J192="","",Coleta!Q192)</f>
        <v>0</v>
      </c>
      <c r="K192" s="16" t="str">
        <f>IF(Coleta!$J192="","",Coleta!C192)</f>
        <v>Probe-ES</v>
      </c>
    </row>
    <row r="193" spans="1:11" x14ac:dyDescent="0.3">
      <c r="A193" s="16" t="str">
        <f>IF(Coleta!$J193="","",Coleta!F193)</f>
        <v>2026-10-18T17:12:00Z</v>
      </c>
      <c r="B193" s="16" t="str">
        <f>IF(Coleta!$J193="","",Coleta!B193)</f>
        <v>Probe-ES|192.168.23.10</v>
      </c>
      <c r="C193" s="16" t="str">
        <f>IF(Coleta!$J193="","",Coleta!D193)</f>
        <v>A</v>
      </c>
      <c r="D193" s="16" t="str">
        <f>IF(Coleta!$J193="","",Coleta!E193)</f>
        <v>Normal</v>
      </c>
      <c r="E193" s="16">
        <f>IF(Coleta!$J193="","",Coleta!J193)</f>
        <v>3</v>
      </c>
      <c r="F193" s="16">
        <f>IF(Coleta!$J193="","",Coleta!K193)</f>
        <v>3</v>
      </c>
      <c r="G193" s="16">
        <f>IF(Coleta!$J193="","",Coleta!L193)</f>
        <v>5.333333333333333</v>
      </c>
      <c r="H193" s="16">
        <f>IF(Coleta!$J193="","",Coleta!M193)</f>
        <v>0</v>
      </c>
      <c r="I193" s="16">
        <f>IF(Coleta!$J193="","",Coleta!P193)</f>
        <v>7.25</v>
      </c>
      <c r="J193" s="16">
        <f>IF(Coleta!$J193="","",Coleta!Q193)</f>
        <v>0</v>
      </c>
      <c r="K193" s="16" t="str">
        <f>IF(Coleta!$J193="","",Coleta!C193)</f>
        <v>Probe-ES</v>
      </c>
    </row>
    <row r="194" spans="1:11" x14ac:dyDescent="0.3">
      <c r="A194" s="16" t="str">
        <f>IF(Coleta!$J194="","",Coleta!F194)</f>
        <v>2026-10-18T17:24:00Z</v>
      </c>
      <c r="B194" s="16" t="str">
        <f>IF(Coleta!$J194="","",Coleta!B194)</f>
        <v>Probe-ES|192.168.23.10</v>
      </c>
      <c r="C194" s="16" t="str">
        <f>IF(Coleta!$J194="","",Coleta!D194)</f>
        <v>A</v>
      </c>
      <c r="D194" s="16" t="str">
        <f>IF(Coleta!$J194="","",Coleta!E194)</f>
        <v>Normal</v>
      </c>
      <c r="E194" s="16">
        <f>IF(Coleta!$J194="","",Coleta!J194)</f>
        <v>3</v>
      </c>
      <c r="F194" s="16">
        <f>IF(Coleta!$J194="","",Coleta!K194)</f>
        <v>3</v>
      </c>
      <c r="G194" s="16">
        <f>IF(Coleta!$J194="","",Coleta!L194)</f>
        <v>1</v>
      </c>
      <c r="H194" s="16">
        <f>IF(Coleta!$J194="","",Coleta!M194)</f>
        <v>0</v>
      </c>
      <c r="I194" s="16">
        <f>IF(Coleta!$J194="","",Coleta!P194)</f>
        <v>1.5</v>
      </c>
      <c r="J194" s="16">
        <f>IF(Coleta!$J194="","",Coleta!Q194)</f>
        <v>0</v>
      </c>
      <c r="K194" s="16" t="str">
        <f>IF(Coleta!$J194="","",Coleta!C194)</f>
        <v>Probe-ES</v>
      </c>
    </row>
    <row r="195" spans="1:11" x14ac:dyDescent="0.3">
      <c r="A195" s="16" t="str">
        <f>IF(Coleta!$J195="","",Coleta!F195)</f>
        <v>2026-10-18T17:26:00Z</v>
      </c>
      <c r="B195" s="16" t="str">
        <f>IF(Coleta!$J195="","",Coleta!B195)</f>
        <v>Probe-ES|192.168.23.10</v>
      </c>
      <c r="C195" s="16" t="str">
        <f>IF(Coleta!$J195="","",Coleta!D195)</f>
        <v>A</v>
      </c>
      <c r="D195" s="16" t="str">
        <f>IF(Coleta!$J195="","",Coleta!E195)</f>
        <v>Normal</v>
      </c>
      <c r="E195" s="16">
        <f>IF(Coleta!$J195="","",Coleta!J195)</f>
        <v>3</v>
      </c>
      <c r="F195" s="16">
        <f>IF(Coleta!$J195="","",Coleta!K195)</f>
        <v>3</v>
      </c>
      <c r="G195" s="16">
        <f>IF(Coleta!$J195="","",Coleta!L195)</f>
        <v>0.5</v>
      </c>
      <c r="H195" s="16">
        <f>IF(Coleta!$J195="","",Coleta!M195)</f>
        <v>0</v>
      </c>
      <c r="I195" s="16">
        <f>IF(Coleta!$J195="","",Coleta!P195)</f>
        <v>0</v>
      </c>
      <c r="J195" s="16">
        <f>IF(Coleta!$J195="","",Coleta!Q195)</f>
        <v>0</v>
      </c>
      <c r="K195" s="16" t="str">
        <f>IF(Coleta!$J195="","",Coleta!C195)</f>
        <v>Probe-ES</v>
      </c>
    </row>
    <row r="196" spans="1:11" x14ac:dyDescent="0.3">
      <c r="A196" s="16" t="str">
        <f>IF(Coleta!$J196="","",Coleta!F196)</f>
        <v>2026-10-18T17:27:00Z</v>
      </c>
      <c r="B196" s="16" t="str">
        <f>IF(Coleta!$J196="","",Coleta!B196)</f>
        <v>Probe-ES|192.168.23.10</v>
      </c>
      <c r="C196" s="16" t="str">
        <f>IF(Coleta!$J196="","",Coleta!D196)</f>
        <v>A</v>
      </c>
      <c r="D196" s="16" t="str">
        <f>IF(Coleta!$J196="","",Coleta!E196)</f>
        <v>Normal</v>
      </c>
      <c r="E196" s="16">
        <f>IF(Coleta!$J196="","",Coleta!J196)</f>
        <v>3</v>
      </c>
      <c r="F196" s="16">
        <f>IF(Coleta!$J196="","",Coleta!K196)</f>
        <v>3</v>
      </c>
      <c r="G196" s="16">
        <f>IF(Coleta!$J196="","",Coleta!L196)</f>
        <v>0.66666666666666663</v>
      </c>
      <c r="H196" s="16">
        <f>IF(Coleta!$J196="","",Coleta!M196)</f>
        <v>0</v>
      </c>
      <c r="I196" s="16">
        <f>IF(Coleta!$J196="","",Coleta!P196)</f>
        <v>0.25</v>
      </c>
      <c r="J196" s="16">
        <f>IF(Coleta!$J196="","",Coleta!Q196)</f>
        <v>0</v>
      </c>
      <c r="K196" s="16" t="str">
        <f>IF(Coleta!$J196="","",Coleta!C196)</f>
        <v>Probe-ES</v>
      </c>
    </row>
    <row r="197" spans="1:11" x14ac:dyDescent="0.3">
      <c r="A197" s="16" t="str">
        <f>IF(Coleta!$J197="","",Coleta!F197)</f>
        <v>2026-10-18T17:29:00Z</v>
      </c>
      <c r="B197" s="16" t="str">
        <f>IF(Coleta!$J197="","",Coleta!B197)</f>
        <v>Probe-ES|192.168.23.10</v>
      </c>
      <c r="C197" s="16" t="str">
        <f>IF(Coleta!$J197="","",Coleta!D197)</f>
        <v>A</v>
      </c>
      <c r="D197" s="16" t="str">
        <f>IF(Coleta!$J197="","",Coleta!E197)</f>
        <v>Normal</v>
      </c>
      <c r="E197" s="16">
        <f>IF(Coleta!$J197="","",Coleta!J197)</f>
        <v>3</v>
      </c>
      <c r="F197" s="16">
        <f>IF(Coleta!$J197="","",Coleta!K197)</f>
        <v>3</v>
      </c>
      <c r="G197" s="16">
        <f>IF(Coleta!$J197="","",Coleta!L197)</f>
        <v>0.5</v>
      </c>
      <c r="H197" s="16">
        <f>IF(Coleta!$J197="","",Coleta!M197)</f>
        <v>0</v>
      </c>
      <c r="I197" s="16">
        <f>IF(Coleta!$J197="","",Coleta!P197)</f>
        <v>0</v>
      </c>
      <c r="J197" s="16">
        <f>IF(Coleta!$J197="","",Coleta!Q197)</f>
        <v>0</v>
      </c>
      <c r="K197" s="16" t="str">
        <f>IF(Coleta!$J197="","",Coleta!C197)</f>
        <v>Probe-ES</v>
      </c>
    </row>
    <row r="198" spans="1:11" x14ac:dyDescent="0.3">
      <c r="A198" s="16" t="str">
        <f>IF(Coleta!$J198="","",Coleta!F198)</f>
        <v>2026-10-18T17:30:00Z</v>
      </c>
      <c r="B198" s="16" t="str">
        <f>IF(Coleta!$J198="","",Coleta!B198)</f>
        <v>Probe-ES|192.168.23.10</v>
      </c>
      <c r="C198" s="16" t="str">
        <f>IF(Coleta!$J198="","",Coleta!D198)</f>
        <v>A</v>
      </c>
      <c r="D198" s="16" t="str">
        <f>IF(Coleta!$J198="","",Coleta!E198)</f>
        <v>Normal</v>
      </c>
      <c r="E198" s="16">
        <f>IF(Coleta!$J198="","",Coleta!J198)</f>
        <v>3</v>
      </c>
      <c r="F198" s="16">
        <f>IF(Coleta!$J198="","",Coleta!K198)</f>
        <v>3</v>
      </c>
      <c r="G198" s="16">
        <f>IF(Coleta!$J198="","",Coleta!L198)</f>
        <v>0.66666666666666663</v>
      </c>
      <c r="H198" s="16">
        <f>IF(Coleta!$J198="","",Coleta!M198)</f>
        <v>0</v>
      </c>
      <c r="I198" s="16">
        <f>IF(Coleta!$J198="","",Coleta!P198)</f>
        <v>0.25</v>
      </c>
      <c r="J198" s="16">
        <f>IF(Coleta!$J198="","",Coleta!Q198)</f>
        <v>0</v>
      </c>
      <c r="K198" s="16" t="str">
        <f>IF(Coleta!$J198="","",Coleta!C198)</f>
        <v>Probe-ES</v>
      </c>
    </row>
    <row r="199" spans="1:11" x14ac:dyDescent="0.3">
      <c r="A199" s="16" t="str">
        <f>IF(Coleta!$J199="","",Coleta!F199)</f>
        <v>2026-10-18T17:32:00Z</v>
      </c>
      <c r="B199" s="16" t="str">
        <f>IF(Coleta!$J199="","",Coleta!B199)</f>
        <v>Probe-ES|192.168.23.10</v>
      </c>
      <c r="C199" s="16" t="str">
        <f>IF(Coleta!$J199="","",Coleta!D199)</f>
        <v>A</v>
      </c>
      <c r="D199" s="16" t="str">
        <f>IF(Coleta!$J199="","",Coleta!E199)</f>
        <v>Normal</v>
      </c>
      <c r="E199" s="16">
        <f>IF(Coleta!$J199="","",Coleta!J199)</f>
        <v>3</v>
      </c>
      <c r="F199" s="16">
        <f>IF(Coleta!$J199="","",Coleta!K199)</f>
        <v>3</v>
      </c>
      <c r="G199" s="16">
        <f>IF(Coleta!$J199="","",Coleta!L199)</f>
        <v>0.5</v>
      </c>
      <c r="H199" s="16">
        <f>IF(Coleta!$J199="","",Coleta!M199)</f>
        <v>0</v>
      </c>
      <c r="I199" s="16">
        <f>IF(Coleta!$J199="","",Coleta!P199)</f>
        <v>0</v>
      </c>
      <c r="J199" s="16">
        <f>IF(Coleta!$J199="","",Coleta!Q199)</f>
        <v>0</v>
      </c>
      <c r="K199" s="16" t="str">
        <f>IF(Coleta!$J199="","",Coleta!C199)</f>
        <v>Probe-ES</v>
      </c>
    </row>
    <row r="200" spans="1:11" x14ac:dyDescent="0.3">
      <c r="A200" s="16" t="str">
        <f>IF(Coleta!$J200="","",Coleta!F200)</f>
        <v>2026-10-18T17:33:00Z</v>
      </c>
      <c r="B200" s="16" t="str">
        <f>IF(Coleta!$J200="","",Coleta!B200)</f>
        <v>Probe-ES|192.168.23.10</v>
      </c>
      <c r="C200" s="16" t="str">
        <f>IF(Coleta!$J200="","",Coleta!D200)</f>
        <v>A</v>
      </c>
      <c r="D200" s="16" t="str">
        <f>IF(Coleta!$J200="","",Coleta!E200)</f>
        <v>Normal</v>
      </c>
      <c r="E200" s="16">
        <f>IF(Coleta!$J200="","",Coleta!J200)</f>
        <v>3</v>
      </c>
      <c r="F200" s="16">
        <f>IF(Coleta!$J200="","",Coleta!K200)</f>
        <v>3</v>
      </c>
      <c r="G200" s="16">
        <f>IF(Coleta!$J200="","",Coleta!L200)</f>
        <v>4.333333333333333</v>
      </c>
      <c r="H200" s="16">
        <f>IF(Coleta!$J200="","",Coleta!M200)</f>
        <v>0</v>
      </c>
      <c r="I200" s="16">
        <f>IF(Coleta!$J200="","",Coleta!P200)</f>
        <v>5.75</v>
      </c>
      <c r="J200" s="16">
        <f>IF(Coleta!$J200="","",Coleta!Q200)</f>
        <v>0</v>
      </c>
      <c r="K200" s="16" t="str">
        <f>IF(Coleta!$J200="","",Coleta!C200)</f>
        <v>Probe-ES</v>
      </c>
    </row>
    <row r="201" spans="1:11" x14ac:dyDescent="0.3">
      <c r="A201" s="16" t="str">
        <f>IF(Coleta!$J201="","",Coleta!F201)</f>
        <v>2026-10-18T17:35:00Z</v>
      </c>
      <c r="B201" s="16" t="str">
        <f>IF(Coleta!$J201="","",Coleta!B201)</f>
        <v>Probe-ES|192.168.23.10</v>
      </c>
      <c r="C201" s="16" t="str">
        <f>IF(Coleta!$J201="","",Coleta!D201)</f>
        <v>A</v>
      </c>
      <c r="D201" s="16" t="str">
        <f>IF(Coleta!$J201="","",Coleta!E201)</f>
        <v>Normal</v>
      </c>
      <c r="E201" s="16">
        <f>IF(Coleta!$J201="","",Coleta!J201)</f>
        <v>3</v>
      </c>
      <c r="F201" s="16">
        <f>IF(Coleta!$J201="","",Coleta!K201)</f>
        <v>3</v>
      </c>
      <c r="G201" s="16">
        <f>IF(Coleta!$J201="","",Coleta!L201)</f>
        <v>0.5</v>
      </c>
      <c r="H201" s="16">
        <f>IF(Coleta!$J201="","",Coleta!M201)</f>
        <v>0</v>
      </c>
      <c r="I201" s="16">
        <f>IF(Coleta!$J201="","",Coleta!P201)</f>
        <v>0</v>
      </c>
      <c r="J201" s="16">
        <f>IF(Coleta!$J201="","",Coleta!Q201)</f>
        <v>0</v>
      </c>
      <c r="K201" s="16" t="str">
        <f>IF(Coleta!$J201="","",Coleta!C201)</f>
        <v>Probe-ES</v>
      </c>
    </row>
    <row r="202" spans="1:11" x14ac:dyDescent="0.3">
      <c r="A202" s="16" t="str">
        <f>IF(Coleta!$J202="","",Coleta!F202)</f>
        <v>2026-10-18T17:46:00Z</v>
      </c>
      <c r="B202" s="16" t="str">
        <f>IF(Coleta!$J202="","",Coleta!B202)</f>
        <v>Probe-ZA|192.168.31.10</v>
      </c>
      <c r="C202" s="16" t="str">
        <f>IF(Coleta!$J202="","",Coleta!D202)</f>
        <v>A</v>
      </c>
      <c r="D202" s="16" t="str">
        <f>IF(Coleta!$J202="","",Coleta!E202)</f>
        <v>Normal</v>
      </c>
      <c r="E202" s="16">
        <f>IF(Coleta!$J202="","",Coleta!J202)</f>
        <v>3</v>
      </c>
      <c r="F202" s="16">
        <f>IF(Coleta!$J202="","",Coleta!K202)</f>
        <v>2</v>
      </c>
      <c r="G202" s="16">
        <f>IF(Coleta!$J202="","",Coleta!L202)</f>
        <v>12</v>
      </c>
      <c r="H202" s="16">
        <f>IF(Coleta!$J202="","",Coleta!M202)</f>
        <v>33.333333333333329</v>
      </c>
      <c r="I202" s="16">
        <f>IF(Coleta!$J202="","",Coleta!P202)</f>
        <v>22</v>
      </c>
      <c r="J202" s="16">
        <f>IF(Coleta!$J202="","",Coleta!Q202)</f>
        <v>0</v>
      </c>
      <c r="K202" s="16" t="str">
        <f>IF(Coleta!$J202="","",Coleta!C202)</f>
        <v>Probe-ZA</v>
      </c>
    </row>
    <row r="203" spans="1:11" x14ac:dyDescent="0.3">
      <c r="A203" s="16" t="str">
        <f>IF(Coleta!$J203="","",Coleta!F203)</f>
        <v>2026-10-18T17:48:00Z</v>
      </c>
      <c r="B203" s="16" t="str">
        <f>IF(Coleta!$J203="","",Coleta!B203)</f>
        <v>Probe-ZA|192.168.31.10</v>
      </c>
      <c r="C203" s="16" t="str">
        <f>IF(Coleta!$J203="","",Coleta!D203)</f>
        <v>A</v>
      </c>
      <c r="D203" s="16" t="str">
        <f>IF(Coleta!$J203="","",Coleta!E203)</f>
        <v>Normal</v>
      </c>
      <c r="E203" s="16">
        <f>IF(Coleta!$J203="","",Coleta!J203)</f>
        <v>3</v>
      </c>
      <c r="F203" s="16">
        <f>IF(Coleta!$J203="","",Coleta!K203)</f>
        <v>3</v>
      </c>
      <c r="G203" s="16">
        <f>IF(Coleta!$J203="","",Coleta!L203)</f>
        <v>2.6666666666666665</v>
      </c>
      <c r="H203" s="16">
        <f>IF(Coleta!$J203="","",Coleta!M203)</f>
        <v>0</v>
      </c>
      <c r="I203" s="16">
        <f>IF(Coleta!$J203="","",Coleta!P203)</f>
        <v>3.25</v>
      </c>
      <c r="J203" s="16">
        <f>IF(Coleta!$J203="","",Coleta!Q203)</f>
        <v>0</v>
      </c>
      <c r="K203" s="16" t="str">
        <f>IF(Coleta!$J203="","",Coleta!C203)</f>
        <v>Probe-ZA</v>
      </c>
    </row>
    <row r="204" spans="1:11" x14ac:dyDescent="0.3">
      <c r="A204" s="16" t="str">
        <f>IF(Coleta!$J204="","",Coleta!F204)</f>
        <v>2026-10-18T17:49:00Z</v>
      </c>
      <c r="B204" s="16" t="str">
        <f>IF(Coleta!$J204="","",Coleta!B204)</f>
        <v>Probe-ZA|192.168.31.10</v>
      </c>
      <c r="C204" s="16" t="str">
        <f>IF(Coleta!$J204="","",Coleta!D204)</f>
        <v>A</v>
      </c>
      <c r="D204" s="16" t="str">
        <f>IF(Coleta!$J204="","",Coleta!E204)</f>
        <v>Normal</v>
      </c>
      <c r="E204" s="16">
        <f>IF(Coleta!$J204="","",Coleta!J204)</f>
        <v>3</v>
      </c>
      <c r="F204" s="16">
        <f>IF(Coleta!$J204="","",Coleta!K204)</f>
        <v>3</v>
      </c>
      <c r="G204" s="16">
        <f>IF(Coleta!$J204="","",Coleta!L204)</f>
        <v>0.66666666666666663</v>
      </c>
      <c r="H204" s="16">
        <f>IF(Coleta!$J204="","",Coleta!M204)</f>
        <v>0</v>
      </c>
      <c r="I204" s="16">
        <f>IF(Coleta!$J204="","",Coleta!P204)</f>
        <v>0.5</v>
      </c>
      <c r="J204" s="16">
        <f>IF(Coleta!$J204="","",Coleta!Q204)</f>
        <v>0</v>
      </c>
      <c r="K204" s="16" t="str">
        <f>IF(Coleta!$J204="","",Coleta!C204)</f>
        <v>Probe-ZA</v>
      </c>
    </row>
    <row r="205" spans="1:11" x14ac:dyDescent="0.3">
      <c r="A205" s="16" t="str">
        <f>IF(Coleta!$J205="","",Coleta!F205)</f>
        <v>2026-10-18T17:50:00Z</v>
      </c>
      <c r="B205" s="16" t="str">
        <f>IF(Coleta!$J205="","",Coleta!B205)</f>
        <v>Probe-ZA|192.168.31.10</v>
      </c>
      <c r="C205" s="16" t="str">
        <f>IF(Coleta!$J205="","",Coleta!D205)</f>
        <v>A</v>
      </c>
      <c r="D205" s="16" t="str">
        <f>IF(Coleta!$J205="","",Coleta!E205)</f>
        <v>Normal</v>
      </c>
      <c r="E205" s="16">
        <f>IF(Coleta!$J205="","",Coleta!J205)</f>
        <v>3</v>
      </c>
      <c r="F205" s="16">
        <f>IF(Coleta!$J205="","",Coleta!K205)</f>
        <v>3</v>
      </c>
      <c r="G205" s="16">
        <f>IF(Coleta!$J205="","",Coleta!L205)</f>
        <v>0.66666666666666663</v>
      </c>
      <c r="H205" s="16">
        <f>IF(Coleta!$J205="","",Coleta!M205)</f>
        <v>0</v>
      </c>
      <c r="I205" s="16">
        <f>IF(Coleta!$J205="","",Coleta!P205)</f>
        <v>0.25</v>
      </c>
      <c r="J205" s="16">
        <f>IF(Coleta!$J205="","",Coleta!Q205)</f>
        <v>0</v>
      </c>
      <c r="K205" s="16" t="str">
        <f>IF(Coleta!$J205="","",Coleta!C205)</f>
        <v>Probe-ZA</v>
      </c>
    </row>
    <row r="206" spans="1:11" x14ac:dyDescent="0.3">
      <c r="A206" s="16" t="str">
        <f>IF(Coleta!$J206="","",Coleta!F206)</f>
        <v>2026-10-18T17:51:00Z</v>
      </c>
      <c r="B206" s="16" t="str">
        <f>IF(Coleta!$J206="","",Coleta!B206)</f>
        <v>Probe-ZA|192.168.31.10</v>
      </c>
      <c r="C206" s="16" t="str">
        <f>IF(Coleta!$J206="","",Coleta!D206)</f>
        <v>A</v>
      </c>
      <c r="D206" s="16" t="str">
        <f>IF(Coleta!$J206="","",Coleta!E206)</f>
        <v>Normal</v>
      </c>
      <c r="E206" s="16">
        <f>IF(Coleta!$J206="","",Coleta!J206)</f>
        <v>3</v>
      </c>
      <c r="F206" s="16">
        <f>IF(Coleta!$J206="","",Coleta!K206)</f>
        <v>3</v>
      </c>
      <c r="G206" s="16">
        <f>IF(Coleta!$J206="","",Coleta!L206)</f>
        <v>0.5</v>
      </c>
      <c r="H206" s="16">
        <f>IF(Coleta!$J206="","",Coleta!M206)</f>
        <v>0</v>
      </c>
      <c r="I206" s="16">
        <f>IF(Coleta!$J206="","",Coleta!P206)</f>
        <v>0</v>
      </c>
      <c r="J206" s="16">
        <f>IF(Coleta!$J206="","",Coleta!Q206)</f>
        <v>0</v>
      </c>
      <c r="K206" s="16" t="str">
        <f>IF(Coleta!$J206="","",Coleta!C206)</f>
        <v>Probe-ZA</v>
      </c>
    </row>
    <row r="207" spans="1:11" x14ac:dyDescent="0.3">
      <c r="A207" s="16" t="str">
        <f>IF(Coleta!$J207="","",Coleta!F207)</f>
        <v>2026-10-18T17:52:00Z</v>
      </c>
      <c r="B207" s="16" t="str">
        <f>IF(Coleta!$J207="","",Coleta!B207)</f>
        <v>Probe-ZA|192.168.31.10</v>
      </c>
      <c r="C207" s="16" t="str">
        <f>IF(Coleta!$J207="","",Coleta!D207)</f>
        <v>A</v>
      </c>
      <c r="D207" s="16" t="str">
        <f>IF(Coleta!$J207="","",Coleta!E207)</f>
        <v>Normal</v>
      </c>
      <c r="E207" s="16">
        <f>IF(Coleta!$J207="","",Coleta!J207)</f>
        <v>3</v>
      </c>
      <c r="F207" s="16">
        <f>IF(Coleta!$J207="","",Coleta!K207)</f>
        <v>3</v>
      </c>
      <c r="G207" s="16">
        <f>IF(Coleta!$J207="","",Coleta!L207)</f>
        <v>0.5</v>
      </c>
      <c r="H207" s="16">
        <f>IF(Coleta!$J207="","",Coleta!M207)</f>
        <v>0</v>
      </c>
      <c r="I207" s="16">
        <f>IF(Coleta!$J207="","",Coleta!P207)</f>
        <v>0</v>
      </c>
      <c r="J207" s="16">
        <f>IF(Coleta!$J207="","",Coleta!Q207)</f>
        <v>0</v>
      </c>
      <c r="K207" s="16" t="str">
        <f>IF(Coleta!$J207="","",Coleta!C207)</f>
        <v>Probe-ZA</v>
      </c>
    </row>
    <row r="208" spans="1:11" x14ac:dyDescent="0.3">
      <c r="A208" s="16" t="str">
        <f>IF(Coleta!$J208="","",Coleta!F208)</f>
        <v>2026-10-18T17:53:00Z</v>
      </c>
      <c r="B208" s="16" t="str">
        <f>IF(Coleta!$J208="","",Coleta!B208)</f>
        <v>Probe-ZA|192.168.31.10</v>
      </c>
      <c r="C208" s="16" t="str">
        <f>IF(Coleta!$J208="","",Coleta!D208)</f>
        <v>A</v>
      </c>
      <c r="D208" s="16" t="str">
        <f>IF(Coleta!$J208="","",Coleta!E208)</f>
        <v>Normal</v>
      </c>
      <c r="E208" s="16">
        <f>IF(Coleta!$J208="","",Coleta!J208)</f>
        <v>3</v>
      </c>
      <c r="F208" s="16">
        <f>IF(Coleta!$J208="","",Coleta!K208)</f>
        <v>3</v>
      </c>
      <c r="G208" s="16">
        <f>IF(Coleta!$J208="","",Coleta!L208)</f>
        <v>0.5</v>
      </c>
      <c r="H208" s="16">
        <f>IF(Coleta!$J208="","",Coleta!M208)</f>
        <v>0</v>
      </c>
      <c r="I208" s="16">
        <f>IF(Coleta!$J208="","",Coleta!P208)</f>
        <v>0</v>
      </c>
      <c r="J208" s="16">
        <f>IF(Coleta!$J208="","",Coleta!Q208)</f>
        <v>0</v>
      </c>
      <c r="K208" s="16" t="str">
        <f>IF(Coleta!$J208="","",Coleta!C208)</f>
        <v>Probe-ZA</v>
      </c>
    </row>
    <row r="209" spans="1:11" x14ac:dyDescent="0.3">
      <c r="A209" s="16" t="str">
        <f>IF(Coleta!$J209="","",Coleta!F209)</f>
        <v>2026-10-18T17:54:00Z</v>
      </c>
      <c r="B209" s="16" t="str">
        <f>IF(Coleta!$J209="","",Coleta!B209)</f>
        <v>Probe-ZA|192.168.31.10</v>
      </c>
      <c r="C209" s="16" t="str">
        <f>IF(Coleta!$J209="","",Coleta!D209)</f>
        <v>A</v>
      </c>
      <c r="D209" s="16" t="str">
        <f>IF(Coleta!$J209="","",Coleta!E209)</f>
        <v>Normal</v>
      </c>
      <c r="E209" s="16">
        <f>IF(Coleta!$J209="","",Coleta!J209)</f>
        <v>3</v>
      </c>
      <c r="F209" s="16">
        <f>IF(Coleta!$J209="","",Coleta!K209)</f>
        <v>3</v>
      </c>
      <c r="G209" s="16">
        <f>IF(Coleta!$J209="","",Coleta!L209)</f>
        <v>0.5</v>
      </c>
      <c r="H209" s="16">
        <f>IF(Coleta!$J209="","",Coleta!M209)</f>
        <v>0</v>
      </c>
      <c r="I209" s="16">
        <f>IF(Coleta!$J209="","",Coleta!P209)</f>
        <v>0</v>
      </c>
      <c r="J209" s="16">
        <f>IF(Coleta!$J209="","",Coleta!Q209)</f>
        <v>0</v>
      </c>
      <c r="K209" s="16" t="str">
        <f>IF(Coleta!$J209="","",Coleta!C209)</f>
        <v>Probe-ZA</v>
      </c>
    </row>
    <row r="210" spans="1:11" x14ac:dyDescent="0.3">
      <c r="A210" s="16" t="str">
        <f>IF(Coleta!$J210="","",Coleta!F210)</f>
        <v>2026-10-18T17:56:00Z</v>
      </c>
      <c r="B210" s="16" t="str">
        <f>IF(Coleta!$J210="","",Coleta!B210)</f>
        <v>Probe-ZA|192.168.31.10</v>
      </c>
      <c r="C210" s="16" t="str">
        <f>IF(Coleta!$J210="","",Coleta!D210)</f>
        <v>A</v>
      </c>
      <c r="D210" s="16" t="str">
        <f>IF(Coleta!$J210="","",Coleta!E210)</f>
        <v>Normal</v>
      </c>
      <c r="E210" s="16">
        <f>IF(Coleta!$J210="","",Coleta!J210)</f>
        <v>3</v>
      </c>
      <c r="F210" s="16">
        <f>IF(Coleta!$J210="","",Coleta!K210)</f>
        <v>3</v>
      </c>
      <c r="G210" s="16">
        <f>IF(Coleta!$J210="","",Coleta!L210)</f>
        <v>0.5</v>
      </c>
      <c r="H210" s="16">
        <f>IF(Coleta!$J210="","",Coleta!M210)</f>
        <v>0</v>
      </c>
      <c r="I210" s="16">
        <f>IF(Coleta!$J210="","",Coleta!P210)</f>
        <v>0</v>
      </c>
      <c r="J210" s="16">
        <f>IF(Coleta!$J210="","",Coleta!Q210)</f>
        <v>0</v>
      </c>
      <c r="K210" s="16" t="str">
        <f>IF(Coleta!$J210="","",Coleta!C210)</f>
        <v>Probe-ZA</v>
      </c>
    </row>
    <row r="211" spans="1:11" x14ac:dyDescent="0.3">
      <c r="A211" s="16" t="str">
        <f>IF(Coleta!$J211="","",Coleta!F211)</f>
        <v>2026-10-18T17:58:00Z</v>
      </c>
      <c r="B211" s="16" t="str">
        <f>IF(Coleta!$J211="","",Coleta!B211)</f>
        <v>Probe-ZA|192.168.31.10</v>
      </c>
      <c r="C211" s="16" t="str">
        <f>IF(Coleta!$J211="","",Coleta!D211)</f>
        <v>A</v>
      </c>
      <c r="D211" s="16" t="str">
        <f>IF(Coleta!$J211="","",Coleta!E211)</f>
        <v>Normal</v>
      </c>
      <c r="E211" s="16">
        <f>IF(Coleta!$J211="","",Coleta!J211)</f>
        <v>3</v>
      </c>
      <c r="F211" s="16">
        <f>IF(Coleta!$J211="","",Coleta!K211)</f>
        <v>3</v>
      </c>
      <c r="G211" s="16">
        <f>IF(Coleta!$J211="","",Coleta!L211)</f>
        <v>0.5</v>
      </c>
      <c r="H211" s="16">
        <f>IF(Coleta!$J211="","",Coleta!M211)</f>
        <v>0</v>
      </c>
      <c r="I211" s="16">
        <f>IF(Coleta!$J211="","",Coleta!P211)</f>
        <v>0</v>
      </c>
      <c r="J211" s="16">
        <f>IF(Coleta!$J211="","",Coleta!Q211)</f>
        <v>0</v>
      </c>
      <c r="K211" s="16" t="str">
        <f>IF(Coleta!$J211="","",Coleta!C211)</f>
        <v>Probe-ZA</v>
      </c>
    </row>
    <row r="212" spans="1:11" x14ac:dyDescent="0.3">
      <c r="A212" s="16" t="str">
        <f>IF(Coleta!$J212="","",Coleta!F212)</f>
        <v>2026-10-18T18:00:00Z</v>
      </c>
      <c r="B212" s="16" t="str">
        <f>IF(Coleta!$J212="","",Coleta!B212)</f>
        <v>Probe-ZA|192.168.31.10</v>
      </c>
      <c r="C212" s="16" t="str">
        <f>IF(Coleta!$J212="","",Coleta!D212)</f>
        <v>A</v>
      </c>
      <c r="D212" s="16" t="str">
        <f>IF(Coleta!$J212="","",Coleta!E212)</f>
        <v>Normal</v>
      </c>
      <c r="E212" s="16">
        <f>IF(Coleta!$J212="","",Coleta!J212)</f>
        <v>3</v>
      </c>
      <c r="F212" s="16">
        <f>IF(Coleta!$J212="","",Coleta!K212)</f>
        <v>3</v>
      </c>
      <c r="G212" s="16">
        <f>IF(Coleta!$J212="","",Coleta!L212)</f>
        <v>0.66666666666666663</v>
      </c>
      <c r="H212" s="16">
        <f>IF(Coleta!$J212="","",Coleta!M212)</f>
        <v>0</v>
      </c>
      <c r="I212" s="16">
        <f>IF(Coleta!$J212="","",Coleta!P212)</f>
        <v>0.25</v>
      </c>
      <c r="J212" s="16">
        <f>IF(Coleta!$J212="","",Coleta!Q212)</f>
        <v>0</v>
      </c>
      <c r="K212" s="16" t="str">
        <f>IF(Coleta!$J212="","",Coleta!C212)</f>
        <v>Probe-ZA</v>
      </c>
    </row>
    <row r="213" spans="1:11" x14ac:dyDescent="0.3">
      <c r="A213" s="16" t="str">
        <f>IF(Coleta!$J213="","",Coleta!F213)</f>
        <v>2026-10-18T18:01:00Z</v>
      </c>
      <c r="B213" s="16" t="str">
        <f>IF(Coleta!$J213="","",Coleta!B213)</f>
        <v>Probe-ZA|192.168.31.10</v>
      </c>
      <c r="C213" s="16" t="str">
        <f>IF(Coleta!$J213="","",Coleta!D213)</f>
        <v>A</v>
      </c>
      <c r="D213" s="16" t="str">
        <f>IF(Coleta!$J213="","",Coleta!E213)</f>
        <v>Normal</v>
      </c>
      <c r="E213" s="16">
        <f>IF(Coleta!$J213="","",Coleta!J213)</f>
        <v>3</v>
      </c>
      <c r="F213" s="16">
        <f>IF(Coleta!$J213="","",Coleta!K213)</f>
        <v>3</v>
      </c>
      <c r="G213" s="16">
        <f>IF(Coleta!$J213="","",Coleta!L213)</f>
        <v>0.5</v>
      </c>
      <c r="H213" s="16">
        <f>IF(Coleta!$J213="","",Coleta!M213)</f>
        <v>0</v>
      </c>
      <c r="I213" s="16">
        <f>IF(Coleta!$J213="","",Coleta!P213)</f>
        <v>0</v>
      </c>
      <c r="J213" s="16">
        <f>IF(Coleta!$J213="","",Coleta!Q213)</f>
        <v>0</v>
      </c>
      <c r="K213" s="16" t="str">
        <f>IF(Coleta!$J213="","",Coleta!C213)</f>
        <v>Probe-ZA</v>
      </c>
    </row>
    <row r="214" spans="1:11" x14ac:dyDescent="0.3">
      <c r="A214" s="16" t="str">
        <f>IF(Coleta!$J214="","",Coleta!F214)</f>
        <v>2026-10-18T18:04:00Z</v>
      </c>
      <c r="B214" s="16" t="str">
        <f>IF(Coleta!$J214="","",Coleta!B214)</f>
        <v>Probe-ZA|192.168.31.10</v>
      </c>
      <c r="C214" s="16" t="str">
        <f>IF(Coleta!$J214="","",Coleta!D214)</f>
        <v>A</v>
      </c>
      <c r="D214" s="16" t="str">
        <f>IF(Coleta!$J214="","",Coleta!E214)</f>
        <v>Normal</v>
      </c>
      <c r="E214" s="16">
        <f>IF(Coleta!$J214="","",Coleta!J214)</f>
        <v>3</v>
      </c>
      <c r="F214" s="16">
        <f>IF(Coleta!$J214="","",Coleta!K214)</f>
        <v>3</v>
      </c>
      <c r="G214" s="16">
        <f>IF(Coleta!$J214="","",Coleta!L214)</f>
        <v>5.5</v>
      </c>
      <c r="H214" s="16">
        <f>IF(Coleta!$J214="","",Coleta!M214)</f>
        <v>0</v>
      </c>
      <c r="I214" s="16">
        <f>IF(Coleta!$J214="","",Coleta!P214)</f>
        <v>7.5</v>
      </c>
      <c r="J214" s="16">
        <f>IF(Coleta!$J214="","",Coleta!Q214)</f>
        <v>0</v>
      </c>
      <c r="K214" s="16" t="str">
        <f>IF(Coleta!$J214="","",Coleta!C214)</f>
        <v>Probe-ZA</v>
      </c>
    </row>
    <row r="215" spans="1:11" x14ac:dyDescent="0.3">
      <c r="A215" s="16" t="str">
        <f>IF(Coleta!$J215="","",Coleta!F215)</f>
        <v>2026-10-18T18:06:00Z</v>
      </c>
      <c r="B215" s="16" t="str">
        <f>IF(Coleta!$J215="","",Coleta!B215)</f>
        <v>Probe-ZA|192.168.31.10</v>
      </c>
      <c r="C215" s="16" t="str">
        <f>IF(Coleta!$J215="","",Coleta!D215)</f>
        <v>A</v>
      </c>
      <c r="D215" s="16" t="str">
        <f>IF(Coleta!$J215="","",Coleta!E215)</f>
        <v>Normal</v>
      </c>
      <c r="E215" s="16">
        <f>IF(Coleta!$J215="","",Coleta!J215)</f>
        <v>3</v>
      </c>
      <c r="F215" s="16">
        <f>IF(Coleta!$J215="","",Coleta!K215)</f>
        <v>3</v>
      </c>
      <c r="G215" s="16">
        <f>IF(Coleta!$J215="","",Coleta!L215)</f>
        <v>0.5</v>
      </c>
      <c r="H215" s="16">
        <f>IF(Coleta!$J215="","",Coleta!M215)</f>
        <v>0</v>
      </c>
      <c r="I215" s="16">
        <f>IF(Coleta!$J215="","",Coleta!P215)</f>
        <v>0</v>
      </c>
      <c r="J215" s="16">
        <f>IF(Coleta!$J215="","",Coleta!Q215)</f>
        <v>0</v>
      </c>
      <c r="K215" s="16" t="str">
        <f>IF(Coleta!$J215="","",Coleta!C215)</f>
        <v>Probe-ZA</v>
      </c>
    </row>
    <row r="216" spans="1:11" x14ac:dyDescent="0.3">
      <c r="A216" s="16" t="str">
        <f>IF(Coleta!$J216="","",Coleta!F216)</f>
        <v>2026-10-18T18:07:00Z</v>
      </c>
      <c r="B216" s="16" t="str">
        <f>IF(Coleta!$J216="","",Coleta!B216)</f>
        <v>Probe-ZA|192.168.31.10</v>
      </c>
      <c r="C216" s="16" t="str">
        <f>IF(Coleta!$J216="","",Coleta!D216)</f>
        <v>A</v>
      </c>
      <c r="D216" s="16" t="str">
        <f>IF(Coleta!$J216="","",Coleta!E216)</f>
        <v>Normal</v>
      </c>
      <c r="E216" s="16">
        <f>IF(Coleta!$J216="","",Coleta!J216)</f>
        <v>3</v>
      </c>
      <c r="F216" s="16">
        <f>IF(Coleta!$J216="","",Coleta!K216)</f>
        <v>3</v>
      </c>
      <c r="G216" s="16">
        <f>IF(Coleta!$J216="","",Coleta!L216)</f>
        <v>0.5</v>
      </c>
      <c r="H216" s="16">
        <f>IF(Coleta!$J216="","",Coleta!M216)</f>
        <v>0</v>
      </c>
      <c r="I216" s="16">
        <f>IF(Coleta!$J216="","",Coleta!P216)</f>
        <v>0</v>
      </c>
      <c r="J216" s="16">
        <f>IF(Coleta!$J216="","",Coleta!Q216)</f>
        <v>0</v>
      </c>
      <c r="K216" s="16" t="str">
        <f>IF(Coleta!$J216="","",Coleta!C216)</f>
        <v>Probe-ZA</v>
      </c>
    </row>
    <row r="217" spans="1:11" x14ac:dyDescent="0.3">
      <c r="A217" s="16" t="str">
        <f>IF(Coleta!$J217="","",Coleta!F217)</f>
        <v>2026-10-18T18:08:00Z</v>
      </c>
      <c r="B217" s="16" t="str">
        <f>IF(Coleta!$J217="","",Coleta!B217)</f>
        <v>Probe-ZA|192.168.31.10</v>
      </c>
      <c r="C217" s="16" t="str">
        <f>IF(Coleta!$J217="","",Coleta!D217)</f>
        <v>A</v>
      </c>
      <c r="D217" s="16" t="str">
        <f>IF(Coleta!$J217="","",Coleta!E217)</f>
        <v>Normal</v>
      </c>
      <c r="E217" s="16">
        <f>IF(Coleta!$J217="","",Coleta!J217)</f>
        <v>3</v>
      </c>
      <c r="F217" s="16">
        <f>IF(Coleta!$J217="","",Coleta!K217)</f>
        <v>3</v>
      </c>
      <c r="G217" s="16">
        <f>IF(Coleta!$J217="","",Coleta!L217)</f>
        <v>0.66666666666666663</v>
      </c>
      <c r="H217" s="16">
        <f>IF(Coleta!$J217="","",Coleta!M217)</f>
        <v>0</v>
      </c>
      <c r="I217" s="16">
        <f>IF(Coleta!$J217="","",Coleta!P217)</f>
        <v>0.25</v>
      </c>
      <c r="J217" s="16">
        <f>IF(Coleta!$J217="","",Coleta!Q217)</f>
        <v>0</v>
      </c>
      <c r="K217" s="16" t="str">
        <f>IF(Coleta!$J217="","",Coleta!C217)</f>
        <v>Probe-ZA</v>
      </c>
    </row>
    <row r="218" spans="1:11" x14ac:dyDescent="0.3">
      <c r="A218" s="16" t="str">
        <f>IF(Coleta!$J218="","",Coleta!F218)</f>
        <v>2026-10-18T18:10:00Z</v>
      </c>
      <c r="B218" s="16" t="str">
        <f>IF(Coleta!$J218="","",Coleta!B218)</f>
        <v>Probe-ZA|192.168.31.10</v>
      </c>
      <c r="C218" s="16" t="str">
        <f>IF(Coleta!$J218="","",Coleta!D218)</f>
        <v>A</v>
      </c>
      <c r="D218" s="16" t="str">
        <f>IF(Coleta!$J218="","",Coleta!E218)</f>
        <v>Normal</v>
      </c>
      <c r="E218" s="16">
        <f>IF(Coleta!$J218="","",Coleta!J218)</f>
        <v>3</v>
      </c>
      <c r="F218" s="16">
        <f>IF(Coleta!$J218="","",Coleta!K218)</f>
        <v>3</v>
      </c>
      <c r="G218" s="16">
        <f>IF(Coleta!$J218="","",Coleta!L218)</f>
        <v>0.5</v>
      </c>
      <c r="H218" s="16">
        <f>IF(Coleta!$J218="","",Coleta!M218)</f>
        <v>0</v>
      </c>
      <c r="I218" s="16">
        <f>IF(Coleta!$J218="","",Coleta!P218)</f>
        <v>0</v>
      </c>
      <c r="J218" s="16">
        <f>IF(Coleta!$J218="","",Coleta!Q218)</f>
        <v>0</v>
      </c>
      <c r="K218" s="16" t="str">
        <f>IF(Coleta!$J218="","",Coleta!C218)</f>
        <v>Probe-ZA</v>
      </c>
    </row>
    <row r="219" spans="1:11" x14ac:dyDescent="0.3">
      <c r="A219" s="16" t="str">
        <f>IF(Coleta!$J219="","",Coleta!F219)</f>
        <v>2026-10-18T18:11:00Z</v>
      </c>
      <c r="B219" s="16" t="str">
        <f>IF(Coleta!$J219="","",Coleta!B219)</f>
        <v>Probe-ZA|192.168.31.10</v>
      </c>
      <c r="C219" s="16" t="str">
        <f>IF(Coleta!$J219="","",Coleta!D219)</f>
        <v>A</v>
      </c>
      <c r="D219" s="16" t="str">
        <f>IF(Coleta!$J219="","",Coleta!E219)</f>
        <v>Normal</v>
      </c>
      <c r="E219" s="16">
        <f>IF(Coleta!$J219="","",Coleta!J219)</f>
        <v>3</v>
      </c>
      <c r="F219" s="16">
        <f>IF(Coleta!$J219="","",Coleta!K219)</f>
        <v>3</v>
      </c>
      <c r="G219" s="16">
        <f>IF(Coleta!$J219="","",Coleta!L219)</f>
        <v>0.66666666666666663</v>
      </c>
      <c r="H219" s="16">
        <f>IF(Coleta!$J219="","",Coleta!M219)</f>
        <v>0</v>
      </c>
      <c r="I219" s="16">
        <f>IF(Coleta!$J219="","",Coleta!P219)</f>
        <v>0.25</v>
      </c>
      <c r="J219" s="16">
        <f>IF(Coleta!$J219="","",Coleta!Q219)</f>
        <v>0</v>
      </c>
      <c r="K219" s="16" t="str">
        <f>IF(Coleta!$J219="","",Coleta!C219)</f>
        <v>Probe-ZA</v>
      </c>
    </row>
    <row r="220" spans="1:11" x14ac:dyDescent="0.3">
      <c r="A220" s="16" t="str">
        <f>IF(Coleta!$J220="","",Coleta!F220)</f>
        <v>2026-10-18T18:12:00Z</v>
      </c>
      <c r="B220" s="16" t="str">
        <f>IF(Coleta!$J220="","",Coleta!B220)</f>
        <v>Probe-ZA|192.168.31.10</v>
      </c>
      <c r="C220" s="16" t="str">
        <f>IF(Coleta!$J220="","",Coleta!D220)</f>
        <v>A</v>
      </c>
      <c r="D220" s="16" t="str">
        <f>IF(Coleta!$J220="","",Coleta!E220)</f>
        <v>Normal</v>
      </c>
      <c r="E220" s="16">
        <f>IF(Coleta!$J220="","",Coleta!J220)</f>
        <v>3</v>
      </c>
      <c r="F220" s="16">
        <f>IF(Coleta!$J220="","",Coleta!K220)</f>
        <v>3</v>
      </c>
      <c r="G220" s="16">
        <f>IF(Coleta!$J220="","",Coleta!L220)</f>
        <v>0.66666666666666663</v>
      </c>
      <c r="H220" s="16">
        <f>IF(Coleta!$J220="","",Coleta!M220)</f>
        <v>0</v>
      </c>
      <c r="I220" s="16">
        <f>IF(Coleta!$J220="","",Coleta!P220)</f>
        <v>0.25</v>
      </c>
      <c r="J220" s="16">
        <f>IF(Coleta!$J220="","",Coleta!Q220)</f>
        <v>0</v>
      </c>
      <c r="K220" s="16" t="str">
        <f>IF(Coleta!$J220="","",Coleta!C220)</f>
        <v>Probe-ZA</v>
      </c>
    </row>
    <row r="221" spans="1:11" x14ac:dyDescent="0.3">
      <c r="A221" s="16" t="str">
        <f>IF(Coleta!$J221="","",Coleta!F221)</f>
        <v>2026-10-18T18:14:00Z</v>
      </c>
      <c r="B221" s="16" t="str">
        <f>IF(Coleta!$J221="","",Coleta!B221)</f>
        <v>Probe-ZA|192.168.31.10</v>
      </c>
      <c r="C221" s="16" t="str">
        <f>IF(Coleta!$J221="","",Coleta!D221)</f>
        <v>A</v>
      </c>
      <c r="D221" s="16" t="str">
        <f>IF(Coleta!$J221="","",Coleta!E221)</f>
        <v>Normal</v>
      </c>
      <c r="E221" s="16">
        <f>IF(Coleta!$J221="","",Coleta!J221)</f>
        <v>3</v>
      </c>
      <c r="F221" s="16">
        <f>IF(Coleta!$J221="","",Coleta!K221)</f>
        <v>3</v>
      </c>
      <c r="G221" s="16">
        <f>IF(Coleta!$J221="","",Coleta!L221)</f>
        <v>0.5</v>
      </c>
      <c r="H221" s="16">
        <f>IF(Coleta!$J221="","",Coleta!M221)</f>
        <v>0</v>
      </c>
      <c r="I221" s="16">
        <f>IF(Coleta!$J221="","",Coleta!P221)</f>
        <v>0</v>
      </c>
      <c r="J221" s="16">
        <f>IF(Coleta!$J221="","",Coleta!Q221)</f>
        <v>0</v>
      </c>
      <c r="K221" s="16" t="str">
        <f>IF(Coleta!$J221="","",Coleta!C221)</f>
        <v>Probe-ZA</v>
      </c>
    </row>
    <row r="222" spans="1:11" x14ac:dyDescent="0.3">
      <c r="A222" s="16" t="str">
        <f>IF(Coleta!$J222="","",Coleta!F222)</f>
        <v>2026-10-18T18:15:00Z</v>
      </c>
      <c r="B222" s="16" t="str">
        <f>IF(Coleta!$J222="","",Coleta!B222)</f>
        <v>Probe-IN|192.168.41.10</v>
      </c>
      <c r="C222" s="16" t="str">
        <f>IF(Coleta!$J222="","",Coleta!D222)</f>
        <v>A</v>
      </c>
      <c r="D222" s="16" t="str">
        <f>IF(Coleta!$J222="","",Coleta!E222)</f>
        <v>Normal</v>
      </c>
      <c r="E222" s="16">
        <f>IF(Coleta!$J222="","",Coleta!J222)</f>
        <v>3</v>
      </c>
      <c r="F222" s="16">
        <f>IF(Coleta!$J222="","",Coleta!K222)</f>
        <v>2</v>
      </c>
      <c r="G222" s="16">
        <f>IF(Coleta!$J222="","",Coleta!L222)</f>
        <v>0.5</v>
      </c>
      <c r="H222" s="16">
        <f>IF(Coleta!$J222="","",Coleta!M222)</f>
        <v>33.333333333333329</v>
      </c>
      <c r="I222" s="16">
        <f>IF(Coleta!$J222="","",Coleta!P222)</f>
        <v>0</v>
      </c>
      <c r="J222" s="16">
        <f>IF(Coleta!$J222="","",Coleta!Q222)</f>
        <v>0</v>
      </c>
      <c r="K222" s="16" t="str">
        <f>IF(Coleta!$J222="","",Coleta!C222)</f>
        <v>Probe-IN</v>
      </c>
    </row>
    <row r="223" spans="1:11" x14ac:dyDescent="0.3">
      <c r="A223" s="16" t="str">
        <f>IF(Coleta!$J223="","",Coleta!F223)</f>
        <v>2026-10-18T18:17:00Z</v>
      </c>
      <c r="B223" s="16" t="str">
        <f>IF(Coleta!$J223="","",Coleta!B223)</f>
        <v>Probe-IN|192.168.41.10</v>
      </c>
      <c r="C223" s="16" t="str">
        <f>IF(Coleta!$J223="","",Coleta!D223)</f>
        <v>A</v>
      </c>
      <c r="D223" s="16" t="str">
        <f>IF(Coleta!$J223="","",Coleta!E223)</f>
        <v>Normal</v>
      </c>
      <c r="E223" s="16">
        <f>IF(Coleta!$J223="","",Coleta!J223)</f>
        <v>3</v>
      </c>
      <c r="F223" s="16">
        <f>IF(Coleta!$J223="","",Coleta!K223)</f>
        <v>3</v>
      </c>
      <c r="G223" s="16">
        <f>IF(Coleta!$J223="","",Coleta!L223)</f>
        <v>0.5</v>
      </c>
      <c r="H223" s="16">
        <f>IF(Coleta!$J223="","",Coleta!M223)</f>
        <v>0</v>
      </c>
      <c r="I223" s="16">
        <f>IF(Coleta!$J223="","",Coleta!P223)</f>
        <v>0</v>
      </c>
      <c r="J223" s="16">
        <f>IF(Coleta!$J223="","",Coleta!Q223)</f>
        <v>0</v>
      </c>
      <c r="K223" s="16" t="str">
        <f>IF(Coleta!$J223="","",Coleta!C223)</f>
        <v>Probe-IN</v>
      </c>
    </row>
    <row r="224" spans="1:11" x14ac:dyDescent="0.3">
      <c r="A224" s="16" t="str">
        <f>IF(Coleta!$J224="","",Coleta!F224)</f>
        <v>2026-10-18T18:18:00Z</v>
      </c>
      <c r="B224" s="16" t="str">
        <f>IF(Coleta!$J224="","",Coleta!B224)</f>
        <v>Probe-IN|192.168.41.10</v>
      </c>
      <c r="C224" s="16" t="str">
        <f>IF(Coleta!$J224="","",Coleta!D224)</f>
        <v>A</v>
      </c>
      <c r="D224" s="16" t="str">
        <f>IF(Coleta!$J224="","",Coleta!E224)</f>
        <v>Normal</v>
      </c>
      <c r="E224" s="16">
        <f>IF(Coleta!$J224="","",Coleta!J224)</f>
        <v>3</v>
      </c>
      <c r="F224" s="16">
        <f>IF(Coleta!$J224="","",Coleta!K224)</f>
        <v>3</v>
      </c>
      <c r="G224" s="16">
        <f>IF(Coleta!$J224="","",Coleta!L224)</f>
        <v>4.166666666666667</v>
      </c>
      <c r="H224" s="16">
        <f>IF(Coleta!$J224="","",Coleta!M224)</f>
        <v>0</v>
      </c>
      <c r="I224" s="16">
        <f>IF(Coleta!$J224="","",Coleta!P224)</f>
        <v>10.25</v>
      </c>
      <c r="J224" s="16">
        <f>IF(Coleta!$J224="","",Coleta!Q224)</f>
        <v>0</v>
      </c>
      <c r="K224" s="16" t="str">
        <f>IF(Coleta!$J224="","",Coleta!C224)</f>
        <v>Probe-IN</v>
      </c>
    </row>
    <row r="225" spans="1:11" x14ac:dyDescent="0.3">
      <c r="A225" s="16" t="str">
        <f>IF(Coleta!$J225="","",Coleta!F225)</f>
        <v>2026-10-18T18:19:00Z</v>
      </c>
      <c r="B225" s="16" t="str">
        <f>IF(Coleta!$J225="","",Coleta!B225)</f>
        <v>Probe-IN|192.168.41.10</v>
      </c>
      <c r="C225" s="16" t="str">
        <f>IF(Coleta!$J225="","",Coleta!D225)</f>
        <v>A</v>
      </c>
      <c r="D225" s="16" t="str">
        <f>IF(Coleta!$J225="","",Coleta!E225)</f>
        <v>Normal</v>
      </c>
      <c r="E225" s="16">
        <f>IF(Coleta!$J225="","",Coleta!J225)</f>
        <v>3</v>
      </c>
      <c r="F225" s="16">
        <f>IF(Coleta!$J225="","",Coleta!K225)</f>
        <v>3</v>
      </c>
      <c r="G225" s="16">
        <f>IF(Coleta!$J225="","",Coleta!L225)</f>
        <v>0.5</v>
      </c>
      <c r="H225" s="16">
        <f>IF(Coleta!$J225="","",Coleta!M225)</f>
        <v>0</v>
      </c>
      <c r="I225" s="16">
        <f>IF(Coleta!$J225="","",Coleta!P225)</f>
        <v>0</v>
      </c>
      <c r="J225" s="16">
        <f>IF(Coleta!$J225="","",Coleta!Q225)</f>
        <v>0</v>
      </c>
      <c r="K225" s="16" t="str">
        <f>IF(Coleta!$J225="","",Coleta!C225)</f>
        <v>Probe-IN</v>
      </c>
    </row>
    <row r="226" spans="1:11" x14ac:dyDescent="0.3">
      <c r="A226" s="16" t="str">
        <f>IF(Coleta!$J226="","",Coleta!F226)</f>
        <v>2026-10-18T18:21:00Z</v>
      </c>
      <c r="B226" s="16" t="str">
        <f>IF(Coleta!$J226="","",Coleta!B226)</f>
        <v>Probe-IN|192.168.41.10</v>
      </c>
      <c r="C226" s="16" t="str">
        <f>IF(Coleta!$J226="","",Coleta!D226)</f>
        <v>A</v>
      </c>
      <c r="D226" s="16" t="str">
        <f>IF(Coleta!$J226="","",Coleta!E226)</f>
        <v>Normal</v>
      </c>
      <c r="E226" s="16">
        <f>IF(Coleta!$J226="","",Coleta!J226)</f>
        <v>3</v>
      </c>
      <c r="F226" s="16">
        <f>IF(Coleta!$J226="","",Coleta!K226)</f>
        <v>3</v>
      </c>
      <c r="G226" s="16">
        <f>IF(Coleta!$J226="","",Coleta!L226)</f>
        <v>0.5</v>
      </c>
      <c r="H226" s="16">
        <f>IF(Coleta!$J226="","",Coleta!M226)</f>
        <v>0</v>
      </c>
      <c r="I226" s="16">
        <f>IF(Coleta!$J226="","",Coleta!P226)</f>
        <v>0</v>
      </c>
      <c r="J226" s="16">
        <f>IF(Coleta!$J226="","",Coleta!Q226)</f>
        <v>0</v>
      </c>
      <c r="K226" s="16" t="str">
        <f>IF(Coleta!$J226="","",Coleta!C226)</f>
        <v>Probe-IN</v>
      </c>
    </row>
    <row r="227" spans="1:11" x14ac:dyDescent="0.3">
      <c r="A227" s="16" t="str">
        <f>IF(Coleta!$J227="","",Coleta!F227)</f>
        <v>2026-10-18T18:22:00Z</v>
      </c>
      <c r="B227" s="16" t="str">
        <f>IF(Coleta!$J227="","",Coleta!B227)</f>
        <v>Probe-IN|192.168.41.10</v>
      </c>
      <c r="C227" s="16" t="str">
        <f>IF(Coleta!$J227="","",Coleta!D227)</f>
        <v>A</v>
      </c>
      <c r="D227" s="16" t="str">
        <f>IF(Coleta!$J227="","",Coleta!E227)</f>
        <v>Normal</v>
      </c>
      <c r="E227" s="16">
        <f>IF(Coleta!$J227="","",Coleta!J227)</f>
        <v>3</v>
      </c>
      <c r="F227" s="16">
        <f>IF(Coleta!$J227="","",Coleta!K227)</f>
        <v>3</v>
      </c>
      <c r="G227" s="16">
        <f>IF(Coleta!$J227="","",Coleta!L227)</f>
        <v>7.333333333333333</v>
      </c>
      <c r="H227" s="16">
        <f>IF(Coleta!$J227="","",Coleta!M227)</f>
        <v>0</v>
      </c>
      <c r="I227" s="16">
        <f>IF(Coleta!$J227="","",Coleta!P227)</f>
        <v>10.25</v>
      </c>
      <c r="J227" s="16">
        <f>IF(Coleta!$J227="","",Coleta!Q227)</f>
        <v>0</v>
      </c>
      <c r="K227" s="16" t="str">
        <f>IF(Coleta!$J227="","",Coleta!C227)</f>
        <v>Probe-IN</v>
      </c>
    </row>
    <row r="228" spans="1:11" x14ac:dyDescent="0.3">
      <c r="A228" s="16" t="str">
        <f>IF(Coleta!$J228="","",Coleta!F228)</f>
        <v>2026-10-18T18:23:00Z</v>
      </c>
      <c r="B228" s="16" t="str">
        <f>IF(Coleta!$J228="","",Coleta!B228)</f>
        <v>Probe-IN|192.168.41.10</v>
      </c>
      <c r="C228" s="16" t="str">
        <f>IF(Coleta!$J228="","",Coleta!D228)</f>
        <v>A</v>
      </c>
      <c r="D228" s="16" t="str">
        <f>IF(Coleta!$J228="","",Coleta!E228)</f>
        <v>Normal</v>
      </c>
      <c r="E228" s="16">
        <f>IF(Coleta!$J228="","",Coleta!J228)</f>
        <v>3</v>
      </c>
      <c r="F228" s="16">
        <f>IF(Coleta!$J228="","",Coleta!K228)</f>
        <v>3</v>
      </c>
      <c r="G228" s="16">
        <f>IF(Coleta!$J228="","",Coleta!L228)</f>
        <v>0.5</v>
      </c>
      <c r="H228" s="16">
        <f>IF(Coleta!$J228="","",Coleta!M228)</f>
        <v>0</v>
      </c>
      <c r="I228" s="16">
        <f>IF(Coleta!$J228="","",Coleta!P228)</f>
        <v>0</v>
      </c>
      <c r="J228" s="16">
        <f>IF(Coleta!$J228="","",Coleta!Q228)</f>
        <v>0</v>
      </c>
      <c r="K228" s="16" t="str">
        <f>IF(Coleta!$J228="","",Coleta!C228)</f>
        <v>Probe-IN</v>
      </c>
    </row>
    <row r="229" spans="1:11" x14ac:dyDescent="0.3">
      <c r="A229" s="16" t="str">
        <f>IF(Coleta!$J229="","",Coleta!F229)</f>
        <v>2026-10-18T18:25:00Z</v>
      </c>
      <c r="B229" s="16" t="str">
        <f>IF(Coleta!$J229="","",Coleta!B229)</f>
        <v>Probe-IN|192.168.41.10</v>
      </c>
      <c r="C229" s="16" t="str">
        <f>IF(Coleta!$J229="","",Coleta!D229)</f>
        <v>A</v>
      </c>
      <c r="D229" s="16" t="str">
        <f>IF(Coleta!$J229="","",Coleta!E229)</f>
        <v>Normal</v>
      </c>
      <c r="E229" s="16">
        <f>IF(Coleta!$J229="","",Coleta!J229)</f>
        <v>3</v>
      </c>
      <c r="F229" s="16">
        <f>IF(Coleta!$J229="","",Coleta!K229)</f>
        <v>3</v>
      </c>
      <c r="G229" s="16">
        <f>IF(Coleta!$J229="","",Coleta!L229)</f>
        <v>0.66666666666666663</v>
      </c>
      <c r="H229" s="16">
        <f>IF(Coleta!$J229="","",Coleta!M229)</f>
        <v>0</v>
      </c>
      <c r="I229" s="16">
        <f>IF(Coleta!$J229="","",Coleta!P229)</f>
        <v>0.25</v>
      </c>
      <c r="J229" s="16">
        <f>IF(Coleta!$J229="","",Coleta!Q229)</f>
        <v>0</v>
      </c>
      <c r="K229" s="16" t="str">
        <f>IF(Coleta!$J229="","",Coleta!C229)</f>
        <v>Probe-IN</v>
      </c>
    </row>
    <row r="230" spans="1:11" x14ac:dyDescent="0.3">
      <c r="A230" s="16" t="str">
        <f>IF(Coleta!$J230="","",Coleta!F230)</f>
        <v>2026-10-18T18:26:00Z</v>
      </c>
      <c r="B230" s="16" t="str">
        <f>IF(Coleta!$J230="","",Coleta!B230)</f>
        <v>Probe-IN|192.168.41.10</v>
      </c>
      <c r="C230" s="16" t="str">
        <f>IF(Coleta!$J230="","",Coleta!D230)</f>
        <v>A</v>
      </c>
      <c r="D230" s="16" t="str">
        <f>IF(Coleta!$J230="","",Coleta!E230)</f>
        <v>Normal</v>
      </c>
      <c r="E230" s="16">
        <f>IF(Coleta!$J230="","",Coleta!J230)</f>
        <v>3</v>
      </c>
      <c r="F230" s="16">
        <f>IF(Coleta!$J230="","",Coleta!K230)</f>
        <v>3</v>
      </c>
      <c r="G230" s="16">
        <f>IF(Coleta!$J230="","",Coleta!L230)</f>
        <v>0.5</v>
      </c>
      <c r="H230" s="16">
        <f>IF(Coleta!$J230="","",Coleta!M230)</f>
        <v>0</v>
      </c>
      <c r="I230" s="16">
        <f>IF(Coleta!$J230="","",Coleta!P230)</f>
        <v>0</v>
      </c>
      <c r="J230" s="16">
        <f>IF(Coleta!$J230="","",Coleta!Q230)</f>
        <v>0</v>
      </c>
      <c r="K230" s="16" t="str">
        <f>IF(Coleta!$J230="","",Coleta!C230)</f>
        <v>Probe-IN</v>
      </c>
    </row>
    <row r="231" spans="1:11" x14ac:dyDescent="0.3">
      <c r="A231" s="16" t="str">
        <f>IF(Coleta!$J231="","",Coleta!F231)</f>
        <v>2026-10-18T18:29:00Z</v>
      </c>
      <c r="B231" s="16" t="str">
        <f>IF(Coleta!$J231="","",Coleta!B231)</f>
        <v>Probe-IN|192.168.41.10</v>
      </c>
      <c r="C231" s="16" t="str">
        <f>IF(Coleta!$J231="","",Coleta!D231)</f>
        <v>A</v>
      </c>
      <c r="D231" s="16" t="str">
        <f>IF(Coleta!$J231="","",Coleta!E231)</f>
        <v>Normal</v>
      </c>
      <c r="E231" s="16">
        <f>IF(Coleta!$J231="","",Coleta!J231)</f>
        <v>3</v>
      </c>
      <c r="F231" s="16">
        <f>IF(Coleta!$J231="","",Coleta!K231)</f>
        <v>3</v>
      </c>
      <c r="G231" s="16">
        <f>IF(Coleta!$J231="","",Coleta!L231)</f>
        <v>0.66666666666666663</v>
      </c>
      <c r="H231" s="16">
        <f>IF(Coleta!$J231="","",Coleta!M231)</f>
        <v>0</v>
      </c>
      <c r="I231" s="16">
        <f>IF(Coleta!$J231="","",Coleta!P231)</f>
        <v>0.5</v>
      </c>
      <c r="J231" s="16">
        <f>IF(Coleta!$J231="","",Coleta!Q231)</f>
        <v>0</v>
      </c>
      <c r="K231" s="16" t="str">
        <f>IF(Coleta!$J231="","",Coleta!C231)</f>
        <v>Probe-IN</v>
      </c>
    </row>
    <row r="232" spans="1:11" x14ac:dyDescent="0.3">
      <c r="A232" s="16" t="str">
        <f>IF(Coleta!$J232="","",Coleta!F232)</f>
        <v>2026-10-18T18:30:00Z</v>
      </c>
      <c r="B232" s="16" t="str">
        <f>IF(Coleta!$J232="","",Coleta!B232)</f>
        <v>Probe-IN|192.168.41.10</v>
      </c>
      <c r="C232" s="16" t="str">
        <f>IF(Coleta!$J232="","",Coleta!D232)</f>
        <v>A</v>
      </c>
      <c r="D232" s="16" t="str">
        <f>IF(Coleta!$J232="","",Coleta!E232)</f>
        <v>Normal</v>
      </c>
      <c r="E232" s="16">
        <f>IF(Coleta!$J232="","",Coleta!J232)</f>
        <v>3</v>
      </c>
      <c r="F232" s="16">
        <f>IF(Coleta!$J232="","",Coleta!K232)</f>
        <v>3</v>
      </c>
      <c r="G232" s="16">
        <f>IF(Coleta!$J232="","",Coleta!L232)</f>
        <v>0.5</v>
      </c>
      <c r="H232" s="16">
        <f>IF(Coleta!$J232="","",Coleta!M232)</f>
        <v>0</v>
      </c>
      <c r="I232" s="16">
        <f>IF(Coleta!$J232="","",Coleta!P232)</f>
        <v>0</v>
      </c>
      <c r="J232" s="16">
        <f>IF(Coleta!$J232="","",Coleta!Q232)</f>
        <v>0</v>
      </c>
      <c r="K232" s="16" t="str">
        <f>IF(Coleta!$J232="","",Coleta!C232)</f>
        <v>Probe-IN</v>
      </c>
    </row>
    <row r="233" spans="1:11" x14ac:dyDescent="0.3">
      <c r="A233" s="16" t="str">
        <f>IF(Coleta!$J233="","",Coleta!F233)</f>
        <v>2026-10-18T18:31:00Z</v>
      </c>
      <c r="B233" s="16" t="str">
        <f>IF(Coleta!$J233="","",Coleta!B233)</f>
        <v>Probe-IN|192.168.41.10</v>
      </c>
      <c r="C233" s="16" t="str">
        <f>IF(Coleta!$J233="","",Coleta!D233)</f>
        <v>A</v>
      </c>
      <c r="D233" s="16" t="str">
        <f>IF(Coleta!$J233="","",Coleta!E233)</f>
        <v>Normal</v>
      </c>
      <c r="E233" s="16">
        <f>IF(Coleta!$J233="","",Coleta!J233)</f>
        <v>3</v>
      </c>
      <c r="F233" s="16">
        <f>IF(Coleta!$J233="","",Coleta!K233)</f>
        <v>3</v>
      </c>
      <c r="G233" s="16">
        <f>IF(Coleta!$J233="","",Coleta!L233)</f>
        <v>5</v>
      </c>
      <c r="H233" s="16">
        <f>IF(Coleta!$J233="","",Coleta!M233)</f>
        <v>0</v>
      </c>
      <c r="I233" s="16">
        <f>IF(Coleta!$J233="","",Coleta!P233)</f>
        <v>6.75</v>
      </c>
      <c r="J233" s="16">
        <f>IF(Coleta!$J233="","",Coleta!Q233)</f>
        <v>0</v>
      </c>
      <c r="K233" s="16" t="str">
        <f>IF(Coleta!$J233="","",Coleta!C233)</f>
        <v>Probe-IN</v>
      </c>
    </row>
    <row r="234" spans="1:11" x14ac:dyDescent="0.3">
      <c r="A234" s="16" t="str">
        <f>IF(Coleta!$J234="","",Coleta!F234)</f>
        <v>2026-10-18T18:32:00Z</v>
      </c>
      <c r="B234" s="16" t="str">
        <f>IF(Coleta!$J234="","",Coleta!B234)</f>
        <v>Probe-IN|192.168.41.10</v>
      </c>
      <c r="C234" s="16" t="str">
        <f>IF(Coleta!$J234="","",Coleta!D234)</f>
        <v>A</v>
      </c>
      <c r="D234" s="16" t="str">
        <f>IF(Coleta!$J234="","",Coleta!E234)</f>
        <v>Normal</v>
      </c>
      <c r="E234" s="16">
        <f>IF(Coleta!$J234="","",Coleta!J234)</f>
        <v>3</v>
      </c>
      <c r="F234" s="16">
        <f>IF(Coleta!$J234="","",Coleta!K234)</f>
        <v>3</v>
      </c>
      <c r="G234" s="16">
        <f>IF(Coleta!$J234="","",Coleta!L234)</f>
        <v>0.5</v>
      </c>
      <c r="H234" s="16">
        <f>IF(Coleta!$J234="","",Coleta!M234)</f>
        <v>0</v>
      </c>
      <c r="I234" s="16">
        <f>IF(Coleta!$J234="","",Coleta!P234)</f>
        <v>0</v>
      </c>
      <c r="J234" s="16">
        <f>IF(Coleta!$J234="","",Coleta!Q234)</f>
        <v>0</v>
      </c>
      <c r="K234" s="16" t="str">
        <f>IF(Coleta!$J234="","",Coleta!C234)</f>
        <v>Probe-IN</v>
      </c>
    </row>
    <row r="235" spans="1:11" x14ac:dyDescent="0.3">
      <c r="A235" s="16" t="str">
        <f>IF(Coleta!$J235="","",Coleta!F235)</f>
        <v>2026-10-18T18:34:00Z</v>
      </c>
      <c r="B235" s="16" t="str">
        <f>IF(Coleta!$J235="","",Coleta!B235)</f>
        <v>Probe-IN|192.168.41.10</v>
      </c>
      <c r="C235" s="16" t="str">
        <f>IF(Coleta!$J235="","",Coleta!D235)</f>
        <v>A</v>
      </c>
      <c r="D235" s="16" t="str">
        <f>IF(Coleta!$J235="","",Coleta!E235)</f>
        <v>Normal</v>
      </c>
      <c r="E235" s="16">
        <f>IF(Coleta!$J235="","",Coleta!J235)</f>
        <v>3</v>
      </c>
      <c r="F235" s="16">
        <f>IF(Coleta!$J235="","",Coleta!K235)</f>
        <v>3</v>
      </c>
      <c r="G235" s="16">
        <f>IF(Coleta!$J235="","",Coleta!L235)</f>
        <v>0.5</v>
      </c>
      <c r="H235" s="16">
        <f>IF(Coleta!$J235="","",Coleta!M235)</f>
        <v>0</v>
      </c>
      <c r="I235" s="16">
        <f>IF(Coleta!$J235="","",Coleta!P235)</f>
        <v>0</v>
      </c>
      <c r="J235" s="16">
        <f>IF(Coleta!$J235="","",Coleta!Q235)</f>
        <v>0</v>
      </c>
      <c r="K235" s="16" t="str">
        <f>IF(Coleta!$J235="","",Coleta!C235)</f>
        <v>Probe-IN</v>
      </c>
    </row>
    <row r="236" spans="1:11" x14ac:dyDescent="0.3">
      <c r="A236" s="16" t="str">
        <f>IF(Coleta!$J236="","",Coleta!F236)</f>
        <v>2026-10-18T18:37:00Z</v>
      </c>
      <c r="B236" s="16" t="str">
        <f>IF(Coleta!$J236="","",Coleta!B236)</f>
        <v>Probe-IN|192.168.41.10</v>
      </c>
      <c r="C236" s="16" t="str">
        <f>IF(Coleta!$J236="","",Coleta!D236)</f>
        <v>A</v>
      </c>
      <c r="D236" s="16" t="str">
        <f>IF(Coleta!$J236="","",Coleta!E236)</f>
        <v>Normal</v>
      </c>
      <c r="E236" s="16">
        <f>IF(Coleta!$J236="","",Coleta!J236)</f>
        <v>3</v>
      </c>
      <c r="F236" s="16">
        <f>IF(Coleta!$J236="","",Coleta!K236)</f>
        <v>3</v>
      </c>
      <c r="G236" s="16">
        <f>IF(Coleta!$J236="","",Coleta!L236)</f>
        <v>0.5</v>
      </c>
      <c r="H236" s="16">
        <f>IF(Coleta!$J236="","",Coleta!M236)</f>
        <v>0</v>
      </c>
      <c r="I236" s="16">
        <f>IF(Coleta!$J236="","",Coleta!P236)</f>
        <v>0</v>
      </c>
      <c r="J236" s="16">
        <f>IF(Coleta!$J236="","",Coleta!Q236)</f>
        <v>0</v>
      </c>
      <c r="K236" s="16" t="str">
        <f>IF(Coleta!$J236="","",Coleta!C236)</f>
        <v>Probe-IN</v>
      </c>
    </row>
    <row r="237" spans="1:11" x14ac:dyDescent="0.3">
      <c r="A237" s="16" t="str">
        <f>IF(Coleta!$J237="","",Coleta!F237)</f>
        <v>2026-10-18T18:39:00Z</v>
      </c>
      <c r="B237" s="16" t="str">
        <f>IF(Coleta!$J237="","",Coleta!B237)</f>
        <v>Probe-IN|192.168.41.10</v>
      </c>
      <c r="C237" s="16" t="str">
        <f>IF(Coleta!$J237="","",Coleta!D237)</f>
        <v>A</v>
      </c>
      <c r="D237" s="16" t="str">
        <f>IF(Coleta!$J237="","",Coleta!E237)</f>
        <v>Normal</v>
      </c>
      <c r="E237" s="16">
        <f>IF(Coleta!$J237="","",Coleta!J237)</f>
        <v>3</v>
      </c>
      <c r="F237" s="16">
        <f>IF(Coleta!$J237="","",Coleta!K237)</f>
        <v>3</v>
      </c>
      <c r="G237" s="16">
        <f>IF(Coleta!$J237="","",Coleta!L237)</f>
        <v>0.5</v>
      </c>
      <c r="H237" s="16">
        <f>IF(Coleta!$J237="","",Coleta!M237)</f>
        <v>0</v>
      </c>
      <c r="I237" s="16">
        <f>IF(Coleta!$J237="","",Coleta!P237)</f>
        <v>0</v>
      </c>
      <c r="J237" s="16">
        <f>IF(Coleta!$J237="","",Coleta!Q237)</f>
        <v>0</v>
      </c>
      <c r="K237" s="16" t="str">
        <f>IF(Coleta!$J237="","",Coleta!C237)</f>
        <v>Probe-IN</v>
      </c>
    </row>
    <row r="238" spans="1:11" x14ac:dyDescent="0.3">
      <c r="A238" s="16" t="str">
        <f>IF(Coleta!$J238="","",Coleta!F238)</f>
        <v>2026-10-18T18:40:00Z</v>
      </c>
      <c r="B238" s="16" t="str">
        <f>IF(Coleta!$J238="","",Coleta!B238)</f>
        <v>Probe-IN|192.168.41.10</v>
      </c>
      <c r="C238" s="16" t="str">
        <f>IF(Coleta!$J238="","",Coleta!D238)</f>
        <v>A</v>
      </c>
      <c r="D238" s="16" t="str">
        <f>IF(Coleta!$J238="","",Coleta!E238)</f>
        <v>Normal</v>
      </c>
      <c r="E238" s="16">
        <f>IF(Coleta!$J238="","",Coleta!J238)</f>
        <v>3</v>
      </c>
      <c r="F238" s="16">
        <f>IF(Coleta!$J238="","",Coleta!K238)</f>
        <v>3</v>
      </c>
      <c r="G238" s="16">
        <f>IF(Coleta!$J238="","",Coleta!L238)</f>
        <v>0.5</v>
      </c>
      <c r="H238" s="16">
        <f>IF(Coleta!$J238="","",Coleta!M238)</f>
        <v>0</v>
      </c>
      <c r="I238" s="16">
        <f>IF(Coleta!$J238="","",Coleta!P238)</f>
        <v>0</v>
      </c>
      <c r="J238" s="16">
        <f>IF(Coleta!$J238="","",Coleta!Q238)</f>
        <v>0</v>
      </c>
      <c r="K238" s="16" t="str">
        <f>IF(Coleta!$J238="","",Coleta!C238)</f>
        <v>Probe-IN</v>
      </c>
    </row>
    <row r="239" spans="1:11" x14ac:dyDescent="0.3">
      <c r="A239" s="16" t="str">
        <f>IF(Coleta!$J239="","",Coleta!F239)</f>
        <v>2026-10-18T18:42:00Z</v>
      </c>
      <c r="B239" s="16" t="str">
        <f>IF(Coleta!$J239="","",Coleta!B239)</f>
        <v>Probe-IN|192.168.41.10</v>
      </c>
      <c r="C239" s="16" t="str">
        <f>IF(Coleta!$J239="","",Coleta!D239)</f>
        <v>A</v>
      </c>
      <c r="D239" s="16" t="str">
        <f>IF(Coleta!$J239="","",Coleta!E239)</f>
        <v>Normal</v>
      </c>
      <c r="E239" s="16">
        <f>IF(Coleta!$J239="","",Coleta!J239)</f>
        <v>3</v>
      </c>
      <c r="F239" s="16">
        <f>IF(Coleta!$J239="","",Coleta!K239)</f>
        <v>3</v>
      </c>
      <c r="G239" s="16">
        <f>IF(Coleta!$J239="","",Coleta!L239)</f>
        <v>0.5</v>
      </c>
      <c r="H239" s="16">
        <f>IF(Coleta!$J239="","",Coleta!M239)</f>
        <v>0</v>
      </c>
      <c r="I239" s="16">
        <f>IF(Coleta!$J239="","",Coleta!P239)</f>
        <v>0</v>
      </c>
      <c r="J239" s="16">
        <f>IF(Coleta!$J239="","",Coleta!Q239)</f>
        <v>0</v>
      </c>
      <c r="K239" s="16" t="str">
        <f>IF(Coleta!$J239="","",Coleta!C239)</f>
        <v>Probe-IN</v>
      </c>
    </row>
    <row r="240" spans="1:11" x14ac:dyDescent="0.3">
      <c r="A240" s="16" t="str">
        <f>IF(Coleta!$J240="","",Coleta!F240)</f>
        <v>2026-10-18T18:43:00Z</v>
      </c>
      <c r="B240" s="16" t="str">
        <f>IF(Coleta!$J240="","",Coleta!B240)</f>
        <v>Probe-IN|192.168.41.10</v>
      </c>
      <c r="C240" s="16" t="str">
        <f>IF(Coleta!$J240="","",Coleta!D240)</f>
        <v>A</v>
      </c>
      <c r="D240" s="16" t="str">
        <f>IF(Coleta!$J240="","",Coleta!E240)</f>
        <v>Normal</v>
      </c>
      <c r="E240" s="16">
        <f>IF(Coleta!$J240="","",Coleta!J240)</f>
        <v>3</v>
      </c>
      <c r="F240" s="16">
        <f>IF(Coleta!$J240="","",Coleta!K240)</f>
        <v>3</v>
      </c>
      <c r="G240" s="16">
        <f>IF(Coleta!$J240="","",Coleta!L240)</f>
        <v>0.5</v>
      </c>
      <c r="H240" s="16">
        <f>IF(Coleta!$J240="","",Coleta!M240)</f>
        <v>0</v>
      </c>
      <c r="I240" s="16">
        <f>IF(Coleta!$J240="","",Coleta!P240)</f>
        <v>0</v>
      </c>
      <c r="J240" s="16">
        <f>IF(Coleta!$J240="","",Coleta!Q240)</f>
        <v>0</v>
      </c>
      <c r="K240" s="16" t="str">
        <f>IF(Coleta!$J240="","",Coleta!C240)</f>
        <v>Probe-IN</v>
      </c>
    </row>
    <row r="241" spans="1:11" x14ac:dyDescent="0.3">
      <c r="A241" s="16" t="str">
        <f>IF(Coleta!$J241="","",Coleta!F241)</f>
        <v>2026-10-18T18:44:00Z</v>
      </c>
      <c r="B241" s="16" t="str">
        <f>IF(Coleta!$J241="","",Coleta!B241)</f>
        <v>Probe-IN|192.168.41.10</v>
      </c>
      <c r="C241" s="16" t="str">
        <f>IF(Coleta!$J241="","",Coleta!D241)</f>
        <v>A</v>
      </c>
      <c r="D241" s="16" t="str">
        <f>IF(Coleta!$J241="","",Coleta!E241)</f>
        <v>Normal</v>
      </c>
      <c r="E241" s="16">
        <f>IF(Coleta!$J241="","",Coleta!J241)</f>
        <v>3</v>
      </c>
      <c r="F241" s="16">
        <f>IF(Coleta!$J241="","",Coleta!K241)</f>
        <v>3</v>
      </c>
      <c r="G241" s="16">
        <f>IF(Coleta!$J241="","",Coleta!L241)</f>
        <v>0.5</v>
      </c>
      <c r="H241" s="16">
        <f>IF(Coleta!$J241="","",Coleta!M241)</f>
        <v>0</v>
      </c>
      <c r="I241" s="16">
        <f>IF(Coleta!$J241="","",Coleta!P241)</f>
        <v>0</v>
      </c>
      <c r="J241" s="16">
        <f>IF(Coleta!$J241="","",Coleta!Q241)</f>
        <v>0</v>
      </c>
      <c r="K241" s="16" t="str">
        <f>IF(Coleta!$J241="","",Coleta!C241)</f>
        <v>Probe-IN</v>
      </c>
    </row>
    <row r="242" spans="1:11" x14ac:dyDescent="0.3">
      <c r="A242" t="s">
        <v>321</v>
      </c>
      <c r="B242" t="s">
        <v>42</v>
      </c>
      <c r="C242" t="s">
        <v>322</v>
      </c>
      <c r="D242" t="s">
        <v>39</v>
      </c>
      <c r="E242">
        <v>3</v>
      </c>
      <c r="F242">
        <v>3</v>
      </c>
      <c r="G242">
        <v>14.66666667</v>
      </c>
      <c r="H242">
        <v>0</v>
      </c>
      <c r="I242">
        <v>11</v>
      </c>
      <c r="J242">
        <v>0</v>
      </c>
      <c r="K242" t="s">
        <v>37</v>
      </c>
    </row>
    <row r="243" spans="1:11" x14ac:dyDescent="0.3">
      <c r="A243" t="s">
        <v>323</v>
      </c>
      <c r="B243" t="s">
        <v>42</v>
      </c>
      <c r="C243" t="s">
        <v>322</v>
      </c>
      <c r="D243" t="s">
        <v>39</v>
      </c>
      <c r="E243">
        <v>3</v>
      </c>
      <c r="F243">
        <v>3</v>
      </c>
      <c r="G243">
        <v>1.6666666699999999</v>
      </c>
      <c r="H243">
        <v>0</v>
      </c>
      <c r="I243">
        <v>1</v>
      </c>
      <c r="J243">
        <v>0</v>
      </c>
      <c r="K243" t="s">
        <v>37</v>
      </c>
    </row>
    <row r="244" spans="1:11" x14ac:dyDescent="0.3">
      <c r="A244" t="s">
        <v>324</v>
      </c>
      <c r="B244" t="s">
        <v>42</v>
      </c>
      <c r="C244" t="s">
        <v>322</v>
      </c>
      <c r="D244" t="s">
        <v>39</v>
      </c>
      <c r="E244">
        <v>3</v>
      </c>
      <c r="F244">
        <v>3</v>
      </c>
      <c r="G244">
        <v>1.3333333300000001</v>
      </c>
      <c r="H244">
        <v>0</v>
      </c>
      <c r="I244">
        <v>1</v>
      </c>
      <c r="J244">
        <v>0</v>
      </c>
      <c r="K244" t="s">
        <v>37</v>
      </c>
    </row>
    <row r="245" spans="1:11" x14ac:dyDescent="0.3">
      <c r="A245" t="s">
        <v>325</v>
      </c>
      <c r="B245" t="s">
        <v>42</v>
      </c>
      <c r="C245" t="s">
        <v>322</v>
      </c>
      <c r="D245" t="s">
        <v>39</v>
      </c>
      <c r="E245">
        <v>3</v>
      </c>
      <c r="F245">
        <v>3</v>
      </c>
      <c r="G245">
        <v>4</v>
      </c>
      <c r="H245">
        <v>0</v>
      </c>
      <c r="I245">
        <v>4.5</v>
      </c>
      <c r="J245">
        <v>0</v>
      </c>
      <c r="K245" t="s">
        <v>37</v>
      </c>
    </row>
    <row r="246" spans="1:11" x14ac:dyDescent="0.3">
      <c r="A246" t="s">
        <v>326</v>
      </c>
      <c r="B246" t="s">
        <v>42</v>
      </c>
      <c r="C246" t="s">
        <v>322</v>
      </c>
      <c r="D246" t="s">
        <v>39</v>
      </c>
      <c r="E246">
        <v>3</v>
      </c>
      <c r="F246">
        <v>3</v>
      </c>
      <c r="G246">
        <v>10</v>
      </c>
      <c r="H246">
        <v>0</v>
      </c>
      <c r="I246">
        <v>9.5</v>
      </c>
      <c r="J246">
        <v>0</v>
      </c>
      <c r="K246" t="s">
        <v>37</v>
      </c>
    </row>
    <row r="247" spans="1:11" x14ac:dyDescent="0.3">
      <c r="A247" t="s">
        <v>327</v>
      </c>
      <c r="B247" t="s">
        <v>42</v>
      </c>
      <c r="C247" t="s">
        <v>322</v>
      </c>
      <c r="D247" t="s">
        <v>39</v>
      </c>
      <c r="E247">
        <v>3</v>
      </c>
      <c r="F247">
        <v>3</v>
      </c>
      <c r="G247">
        <v>8</v>
      </c>
      <c r="H247">
        <v>0</v>
      </c>
      <c r="I247">
        <v>7.5</v>
      </c>
      <c r="J247">
        <v>0</v>
      </c>
      <c r="K247" t="s">
        <v>37</v>
      </c>
    </row>
    <row r="248" spans="1:11" x14ac:dyDescent="0.3">
      <c r="A248" t="s">
        <v>328</v>
      </c>
      <c r="B248" t="s">
        <v>42</v>
      </c>
      <c r="C248" t="s">
        <v>322</v>
      </c>
      <c r="D248" t="s">
        <v>39</v>
      </c>
      <c r="E248">
        <v>3</v>
      </c>
      <c r="F248">
        <v>3</v>
      </c>
      <c r="G248">
        <v>1</v>
      </c>
      <c r="H248">
        <v>0</v>
      </c>
      <c r="I248">
        <v>0</v>
      </c>
      <c r="J248">
        <v>0</v>
      </c>
      <c r="K248" t="s">
        <v>37</v>
      </c>
    </row>
    <row r="249" spans="1:11" x14ac:dyDescent="0.3">
      <c r="A249" t="s">
        <v>329</v>
      </c>
      <c r="B249" t="s">
        <v>42</v>
      </c>
      <c r="C249" t="s">
        <v>322</v>
      </c>
      <c r="D249" t="s">
        <v>39</v>
      </c>
      <c r="E249">
        <v>3</v>
      </c>
      <c r="F249">
        <v>3</v>
      </c>
      <c r="G249">
        <v>11.66666667</v>
      </c>
      <c r="H249">
        <v>0</v>
      </c>
      <c r="I249">
        <v>9.5</v>
      </c>
      <c r="J249">
        <v>0</v>
      </c>
      <c r="K249" t="s">
        <v>37</v>
      </c>
    </row>
    <row r="250" spans="1:11" x14ac:dyDescent="0.3">
      <c r="A250" t="s">
        <v>330</v>
      </c>
      <c r="B250" t="s">
        <v>42</v>
      </c>
      <c r="C250" t="s">
        <v>322</v>
      </c>
      <c r="D250" t="s">
        <v>39</v>
      </c>
      <c r="E250">
        <v>3</v>
      </c>
      <c r="F250">
        <v>3</v>
      </c>
      <c r="G250">
        <v>16.333333329999999</v>
      </c>
      <c r="H250">
        <v>0</v>
      </c>
      <c r="I250">
        <v>14.5</v>
      </c>
      <c r="J250">
        <v>0</v>
      </c>
      <c r="K250" t="s">
        <v>37</v>
      </c>
    </row>
    <row r="251" spans="1:11" x14ac:dyDescent="0.3">
      <c r="A251" t="s">
        <v>330</v>
      </c>
      <c r="B251" t="s">
        <v>42</v>
      </c>
      <c r="C251" t="s">
        <v>322</v>
      </c>
      <c r="D251" t="s">
        <v>39</v>
      </c>
      <c r="E251">
        <v>3</v>
      </c>
      <c r="F251">
        <v>3</v>
      </c>
      <c r="G251">
        <v>11.33333333</v>
      </c>
      <c r="H251">
        <v>0</v>
      </c>
      <c r="I251">
        <v>10</v>
      </c>
      <c r="J251">
        <v>0</v>
      </c>
      <c r="K251" t="s">
        <v>37</v>
      </c>
    </row>
    <row r="252" spans="1:11" x14ac:dyDescent="0.3">
      <c r="A252" t="s">
        <v>331</v>
      </c>
      <c r="B252" t="s">
        <v>42</v>
      </c>
      <c r="C252" t="s">
        <v>322</v>
      </c>
      <c r="D252" t="s">
        <v>39</v>
      </c>
      <c r="E252">
        <v>3</v>
      </c>
      <c r="F252">
        <v>3</v>
      </c>
      <c r="G252">
        <v>1.6666666699999999</v>
      </c>
      <c r="H252">
        <v>0</v>
      </c>
      <c r="I252">
        <v>1</v>
      </c>
      <c r="J252">
        <v>0</v>
      </c>
      <c r="K252" t="s">
        <v>37</v>
      </c>
    </row>
    <row r="253" spans="1:11" x14ac:dyDescent="0.3">
      <c r="A253" t="s">
        <v>332</v>
      </c>
      <c r="B253" t="s">
        <v>42</v>
      </c>
      <c r="C253" t="s">
        <v>322</v>
      </c>
      <c r="D253" t="s">
        <v>39</v>
      </c>
      <c r="E253">
        <v>3</v>
      </c>
      <c r="F253">
        <v>3</v>
      </c>
      <c r="G253">
        <v>2.3333333299999999</v>
      </c>
      <c r="H253">
        <v>0</v>
      </c>
      <c r="I253">
        <v>0.5</v>
      </c>
      <c r="J253">
        <v>0</v>
      </c>
      <c r="K253" t="s">
        <v>37</v>
      </c>
    </row>
    <row r="254" spans="1:11" x14ac:dyDescent="0.3">
      <c r="A254" t="s">
        <v>333</v>
      </c>
      <c r="B254" t="s">
        <v>42</v>
      </c>
      <c r="C254" t="s">
        <v>322</v>
      </c>
      <c r="D254" t="s">
        <v>39</v>
      </c>
      <c r="E254">
        <v>3</v>
      </c>
      <c r="F254">
        <v>3</v>
      </c>
      <c r="G254">
        <v>11.66666667</v>
      </c>
      <c r="H254">
        <v>0</v>
      </c>
      <c r="I254">
        <v>16</v>
      </c>
      <c r="J254">
        <v>0</v>
      </c>
      <c r="K254" t="s">
        <v>37</v>
      </c>
    </row>
    <row r="255" spans="1:11" x14ac:dyDescent="0.3">
      <c r="A255" t="s">
        <v>334</v>
      </c>
      <c r="B255" t="s">
        <v>42</v>
      </c>
      <c r="C255" t="s">
        <v>322</v>
      </c>
      <c r="D255" t="s">
        <v>39</v>
      </c>
      <c r="E255">
        <v>3</v>
      </c>
      <c r="F255">
        <v>3</v>
      </c>
      <c r="G255">
        <v>8.3333333300000003</v>
      </c>
      <c r="H255">
        <v>0</v>
      </c>
      <c r="I255">
        <v>11</v>
      </c>
      <c r="J255">
        <v>0</v>
      </c>
      <c r="K255" t="s">
        <v>37</v>
      </c>
    </row>
    <row r="256" spans="1:11" x14ac:dyDescent="0.3">
      <c r="A256" t="s">
        <v>335</v>
      </c>
      <c r="B256" t="s">
        <v>42</v>
      </c>
      <c r="C256" t="s">
        <v>322</v>
      </c>
      <c r="D256" t="s">
        <v>39</v>
      </c>
      <c r="E256">
        <v>3</v>
      </c>
      <c r="F256">
        <v>3</v>
      </c>
      <c r="G256">
        <v>11.33333333</v>
      </c>
      <c r="H256">
        <v>0</v>
      </c>
      <c r="I256">
        <v>9.5</v>
      </c>
      <c r="J256">
        <v>0</v>
      </c>
      <c r="K256" t="s">
        <v>37</v>
      </c>
    </row>
    <row r="257" spans="1:11" x14ac:dyDescent="0.3">
      <c r="A257" t="s">
        <v>336</v>
      </c>
      <c r="B257" t="s">
        <v>42</v>
      </c>
      <c r="C257" t="s">
        <v>322</v>
      </c>
      <c r="D257" t="s">
        <v>39</v>
      </c>
      <c r="E257">
        <v>3</v>
      </c>
      <c r="F257">
        <v>3</v>
      </c>
      <c r="G257">
        <v>8</v>
      </c>
      <c r="H257">
        <v>0</v>
      </c>
      <c r="I257">
        <v>10</v>
      </c>
      <c r="J257">
        <v>0</v>
      </c>
      <c r="K257" t="s">
        <v>37</v>
      </c>
    </row>
    <row r="258" spans="1:11" x14ac:dyDescent="0.3">
      <c r="A258" t="s">
        <v>337</v>
      </c>
      <c r="B258" t="s">
        <v>42</v>
      </c>
      <c r="C258" t="s">
        <v>322</v>
      </c>
      <c r="D258" t="s">
        <v>39</v>
      </c>
      <c r="E258">
        <v>3</v>
      </c>
      <c r="F258">
        <v>3</v>
      </c>
      <c r="G258">
        <v>6.6666666699999997</v>
      </c>
      <c r="H258">
        <v>0</v>
      </c>
      <c r="I258">
        <v>14</v>
      </c>
      <c r="J258">
        <v>0</v>
      </c>
      <c r="K258" t="s">
        <v>37</v>
      </c>
    </row>
    <row r="259" spans="1:11" x14ac:dyDescent="0.3">
      <c r="A259" t="s">
        <v>338</v>
      </c>
      <c r="B259" t="s">
        <v>42</v>
      </c>
      <c r="C259" t="s">
        <v>322</v>
      </c>
      <c r="D259" t="s">
        <v>39</v>
      </c>
      <c r="E259">
        <v>3</v>
      </c>
      <c r="F259">
        <v>3</v>
      </c>
      <c r="G259">
        <v>10.33333333</v>
      </c>
      <c r="H259">
        <v>0</v>
      </c>
      <c r="I259">
        <v>10</v>
      </c>
      <c r="J259">
        <v>0</v>
      </c>
      <c r="K259" t="s">
        <v>37</v>
      </c>
    </row>
    <row r="260" spans="1:11" x14ac:dyDescent="0.3">
      <c r="A260" t="s">
        <v>339</v>
      </c>
      <c r="B260" t="s">
        <v>42</v>
      </c>
      <c r="C260" t="s">
        <v>322</v>
      </c>
      <c r="D260" t="s">
        <v>39</v>
      </c>
      <c r="E260">
        <v>3</v>
      </c>
      <c r="F260">
        <v>3</v>
      </c>
      <c r="G260">
        <v>12</v>
      </c>
      <c r="H260">
        <v>0</v>
      </c>
      <c r="I260">
        <v>15</v>
      </c>
      <c r="J260">
        <v>0</v>
      </c>
      <c r="K260" t="s">
        <v>37</v>
      </c>
    </row>
    <row r="261" spans="1:11" x14ac:dyDescent="0.3">
      <c r="A261" t="s">
        <v>340</v>
      </c>
      <c r="B261" t="s">
        <v>42</v>
      </c>
      <c r="C261" t="s">
        <v>322</v>
      </c>
      <c r="D261" t="s">
        <v>39</v>
      </c>
      <c r="E261">
        <v>3</v>
      </c>
      <c r="F261">
        <v>3</v>
      </c>
      <c r="G261">
        <v>5.6666666699999997</v>
      </c>
      <c r="H261">
        <v>0</v>
      </c>
      <c r="I261">
        <v>5.5</v>
      </c>
      <c r="J261">
        <v>0</v>
      </c>
      <c r="K261" t="s">
        <v>37</v>
      </c>
    </row>
    <row r="262" spans="1:11" x14ac:dyDescent="0.3">
      <c r="A262" s="24" t="s">
        <v>342</v>
      </c>
      <c r="B262" t="s">
        <v>42</v>
      </c>
      <c r="C262" t="s">
        <v>322</v>
      </c>
      <c r="D262" t="s">
        <v>341</v>
      </c>
      <c r="E262">
        <v>3</v>
      </c>
      <c r="F262">
        <v>3</v>
      </c>
      <c r="G262">
        <v>9</v>
      </c>
      <c r="H262">
        <v>0</v>
      </c>
      <c r="I262">
        <v>7</v>
      </c>
      <c r="J262">
        <v>0</v>
      </c>
      <c r="K262" t="s">
        <v>37</v>
      </c>
    </row>
    <row r="263" spans="1:11" x14ac:dyDescent="0.3">
      <c r="A263" t="s">
        <v>343</v>
      </c>
      <c r="B263" t="s">
        <v>42</v>
      </c>
      <c r="C263" t="s">
        <v>322</v>
      </c>
      <c r="D263" t="s">
        <v>341</v>
      </c>
      <c r="E263">
        <v>3</v>
      </c>
      <c r="F263">
        <v>3</v>
      </c>
      <c r="G263">
        <v>4.6666666699999997</v>
      </c>
      <c r="H263">
        <v>0</v>
      </c>
      <c r="I263">
        <v>5.5</v>
      </c>
      <c r="J263">
        <v>0</v>
      </c>
      <c r="K263" t="s">
        <v>37</v>
      </c>
    </row>
    <row r="264" spans="1:11" x14ac:dyDescent="0.3">
      <c r="A264" t="s">
        <v>344</v>
      </c>
      <c r="B264" t="s">
        <v>42</v>
      </c>
      <c r="C264" t="s">
        <v>322</v>
      </c>
      <c r="D264" t="s">
        <v>341</v>
      </c>
      <c r="E264">
        <v>3</v>
      </c>
      <c r="F264">
        <v>3</v>
      </c>
      <c r="G264">
        <v>7</v>
      </c>
      <c r="H264">
        <v>0</v>
      </c>
      <c r="I264">
        <v>9</v>
      </c>
      <c r="J264">
        <v>0</v>
      </c>
      <c r="K264" t="s">
        <v>37</v>
      </c>
    </row>
    <row r="265" spans="1:11" x14ac:dyDescent="0.3">
      <c r="A265" t="s">
        <v>345</v>
      </c>
      <c r="B265" t="s">
        <v>42</v>
      </c>
      <c r="C265" t="s">
        <v>322</v>
      </c>
      <c r="D265" t="s">
        <v>341</v>
      </c>
      <c r="E265">
        <v>3</v>
      </c>
      <c r="F265">
        <v>3</v>
      </c>
      <c r="G265">
        <v>5.6666666699999997</v>
      </c>
      <c r="H265">
        <v>0</v>
      </c>
      <c r="I265">
        <v>12.5</v>
      </c>
      <c r="J265">
        <v>0</v>
      </c>
      <c r="K265" t="s">
        <v>37</v>
      </c>
    </row>
    <row r="266" spans="1:11" x14ac:dyDescent="0.3">
      <c r="A266" t="s">
        <v>346</v>
      </c>
      <c r="B266" t="s">
        <v>42</v>
      </c>
      <c r="C266" t="s">
        <v>322</v>
      </c>
      <c r="D266" t="s">
        <v>341</v>
      </c>
      <c r="E266">
        <v>3</v>
      </c>
      <c r="F266">
        <v>3</v>
      </c>
      <c r="G266">
        <v>8.3333333300000003</v>
      </c>
      <c r="H266">
        <v>0</v>
      </c>
      <c r="I266">
        <v>10.5</v>
      </c>
      <c r="J266">
        <v>0</v>
      </c>
      <c r="K266" t="s">
        <v>37</v>
      </c>
    </row>
    <row r="267" spans="1:11" x14ac:dyDescent="0.3">
      <c r="A267" t="s">
        <v>347</v>
      </c>
      <c r="B267" t="s">
        <v>42</v>
      </c>
      <c r="C267" t="s">
        <v>322</v>
      </c>
      <c r="D267" t="s">
        <v>341</v>
      </c>
      <c r="E267">
        <v>3</v>
      </c>
      <c r="F267">
        <v>3</v>
      </c>
      <c r="G267">
        <v>11.66666667</v>
      </c>
      <c r="H267">
        <v>0</v>
      </c>
      <c r="I267">
        <v>16</v>
      </c>
      <c r="J267">
        <v>0</v>
      </c>
      <c r="K267" t="s">
        <v>37</v>
      </c>
    </row>
    <row r="268" spans="1:11" x14ac:dyDescent="0.3">
      <c r="A268" t="s">
        <v>348</v>
      </c>
      <c r="B268" t="s">
        <v>42</v>
      </c>
      <c r="C268" t="s">
        <v>322</v>
      </c>
      <c r="D268" t="s">
        <v>341</v>
      </c>
      <c r="E268">
        <v>3</v>
      </c>
      <c r="F268">
        <v>3</v>
      </c>
      <c r="G268">
        <v>7.6666666699999997</v>
      </c>
      <c r="H268">
        <v>0</v>
      </c>
      <c r="I268">
        <v>10</v>
      </c>
      <c r="J268">
        <v>0</v>
      </c>
      <c r="K268" t="s">
        <v>37</v>
      </c>
    </row>
    <row r="269" spans="1:11" x14ac:dyDescent="0.3">
      <c r="A269" t="s">
        <v>349</v>
      </c>
      <c r="B269" t="s">
        <v>42</v>
      </c>
      <c r="C269" t="s">
        <v>322</v>
      </c>
      <c r="D269" t="s">
        <v>341</v>
      </c>
      <c r="E269">
        <v>3</v>
      </c>
      <c r="F269">
        <v>3</v>
      </c>
      <c r="G269">
        <v>7.6666666699999997</v>
      </c>
      <c r="H269">
        <v>0</v>
      </c>
      <c r="I269">
        <v>10</v>
      </c>
      <c r="J269">
        <v>0</v>
      </c>
      <c r="K269" t="s">
        <v>37</v>
      </c>
    </row>
    <row r="270" spans="1:11" x14ac:dyDescent="0.3">
      <c r="A270" t="s">
        <v>350</v>
      </c>
      <c r="B270" t="s">
        <v>42</v>
      </c>
      <c r="C270" t="s">
        <v>322</v>
      </c>
      <c r="D270" t="s">
        <v>341</v>
      </c>
      <c r="E270">
        <v>3</v>
      </c>
      <c r="F270">
        <v>3</v>
      </c>
      <c r="G270">
        <v>7.6666666699999997</v>
      </c>
      <c r="H270">
        <v>0</v>
      </c>
      <c r="I270">
        <v>10</v>
      </c>
      <c r="J270">
        <v>0</v>
      </c>
      <c r="K270" t="s">
        <v>37</v>
      </c>
    </row>
    <row r="271" spans="1:11" x14ac:dyDescent="0.3">
      <c r="A271" t="s">
        <v>351</v>
      </c>
      <c r="B271" t="s">
        <v>42</v>
      </c>
      <c r="C271" t="s">
        <v>322</v>
      </c>
      <c r="D271" t="s">
        <v>341</v>
      </c>
      <c r="E271">
        <v>3</v>
      </c>
      <c r="F271">
        <v>3</v>
      </c>
      <c r="G271">
        <v>17</v>
      </c>
      <c r="H271">
        <v>0</v>
      </c>
      <c r="I271">
        <v>23.5</v>
      </c>
      <c r="J271">
        <v>0</v>
      </c>
      <c r="K271" t="s">
        <v>37</v>
      </c>
    </row>
    <row r="272" spans="1:11" x14ac:dyDescent="0.3">
      <c r="A272" t="s">
        <v>352</v>
      </c>
      <c r="B272" t="s">
        <v>42</v>
      </c>
      <c r="C272" t="s">
        <v>322</v>
      </c>
      <c r="D272" t="s">
        <v>341</v>
      </c>
      <c r="E272">
        <v>3</v>
      </c>
      <c r="F272">
        <v>3</v>
      </c>
      <c r="G272">
        <v>7.6666666699999997</v>
      </c>
      <c r="H272">
        <v>0</v>
      </c>
      <c r="I272">
        <v>10</v>
      </c>
      <c r="J272">
        <v>0</v>
      </c>
      <c r="K272" t="s">
        <v>37</v>
      </c>
    </row>
    <row r="273" spans="1:11" x14ac:dyDescent="0.3">
      <c r="A273" t="s">
        <v>353</v>
      </c>
      <c r="B273" t="s">
        <v>42</v>
      </c>
      <c r="C273" t="s">
        <v>322</v>
      </c>
      <c r="D273" t="s">
        <v>341</v>
      </c>
      <c r="E273">
        <v>3</v>
      </c>
      <c r="F273">
        <v>3</v>
      </c>
      <c r="G273">
        <v>1.3333333300000001</v>
      </c>
      <c r="H273">
        <v>0</v>
      </c>
      <c r="I273">
        <v>0.5</v>
      </c>
      <c r="J273">
        <v>0</v>
      </c>
      <c r="K273" t="s">
        <v>37</v>
      </c>
    </row>
    <row r="274" spans="1:11" x14ac:dyDescent="0.3">
      <c r="A274" t="s">
        <v>354</v>
      </c>
      <c r="B274" t="s">
        <v>42</v>
      </c>
      <c r="C274" t="s">
        <v>322</v>
      </c>
      <c r="D274" t="s">
        <v>341</v>
      </c>
      <c r="E274">
        <v>3</v>
      </c>
      <c r="F274">
        <v>3</v>
      </c>
      <c r="G274">
        <v>10.66666667</v>
      </c>
      <c r="H274">
        <v>0</v>
      </c>
      <c r="I274">
        <v>9</v>
      </c>
      <c r="J274">
        <v>0</v>
      </c>
      <c r="K274" t="s">
        <v>37</v>
      </c>
    </row>
    <row r="275" spans="1:11" x14ac:dyDescent="0.3">
      <c r="A275" t="s">
        <v>355</v>
      </c>
      <c r="B275" t="s">
        <v>42</v>
      </c>
      <c r="C275" t="s">
        <v>322</v>
      </c>
      <c r="D275" t="s">
        <v>341</v>
      </c>
      <c r="E275">
        <v>3</v>
      </c>
      <c r="F275">
        <v>3</v>
      </c>
      <c r="G275">
        <v>13</v>
      </c>
      <c r="H275">
        <v>0</v>
      </c>
      <c r="I275">
        <v>18</v>
      </c>
      <c r="J275">
        <v>0</v>
      </c>
      <c r="K275" t="s">
        <v>37</v>
      </c>
    </row>
    <row r="276" spans="1:11" x14ac:dyDescent="0.3">
      <c r="A276" t="s">
        <v>355</v>
      </c>
      <c r="B276" t="s">
        <v>42</v>
      </c>
      <c r="C276" t="s">
        <v>322</v>
      </c>
      <c r="D276" t="s">
        <v>341</v>
      </c>
      <c r="E276">
        <v>3</v>
      </c>
      <c r="F276">
        <v>3</v>
      </c>
      <c r="G276">
        <v>11.33333333</v>
      </c>
      <c r="H276">
        <v>0</v>
      </c>
      <c r="I276">
        <v>15.5</v>
      </c>
      <c r="J276">
        <v>0</v>
      </c>
      <c r="K276" t="s">
        <v>37</v>
      </c>
    </row>
    <row r="277" spans="1:11" x14ac:dyDescent="0.3">
      <c r="A277" t="s">
        <v>356</v>
      </c>
      <c r="B277" t="s">
        <v>42</v>
      </c>
      <c r="C277" t="s">
        <v>322</v>
      </c>
      <c r="D277" t="s">
        <v>341</v>
      </c>
      <c r="E277">
        <v>3</v>
      </c>
      <c r="F277">
        <v>3</v>
      </c>
      <c r="G277">
        <v>8</v>
      </c>
      <c r="H277">
        <v>0</v>
      </c>
      <c r="I277">
        <v>10.5</v>
      </c>
      <c r="J277">
        <v>0</v>
      </c>
      <c r="K277" t="s">
        <v>37</v>
      </c>
    </row>
    <row r="278" spans="1:11" x14ac:dyDescent="0.3">
      <c r="A278" t="s">
        <v>357</v>
      </c>
      <c r="B278" t="s">
        <v>42</v>
      </c>
      <c r="C278" t="s">
        <v>322</v>
      </c>
      <c r="D278" t="s">
        <v>341</v>
      </c>
      <c r="E278">
        <v>3</v>
      </c>
      <c r="F278">
        <v>3</v>
      </c>
      <c r="G278">
        <v>7.3333333300000003</v>
      </c>
      <c r="H278">
        <v>0</v>
      </c>
      <c r="I278">
        <v>9.5</v>
      </c>
      <c r="J278">
        <v>0</v>
      </c>
      <c r="K278" t="s">
        <v>37</v>
      </c>
    </row>
    <row r="279" spans="1:11" x14ac:dyDescent="0.3">
      <c r="A279" t="s">
        <v>358</v>
      </c>
      <c r="B279" t="s">
        <v>42</v>
      </c>
      <c r="C279" t="s">
        <v>322</v>
      </c>
      <c r="D279" t="s">
        <v>341</v>
      </c>
      <c r="E279">
        <v>3</v>
      </c>
      <c r="F279">
        <v>3</v>
      </c>
      <c r="G279">
        <v>19</v>
      </c>
      <c r="H279">
        <v>0</v>
      </c>
      <c r="I279">
        <v>20.5</v>
      </c>
      <c r="J279">
        <v>0</v>
      </c>
      <c r="K279" t="s">
        <v>37</v>
      </c>
    </row>
    <row r="280" spans="1:11" x14ac:dyDescent="0.3">
      <c r="A280" t="s">
        <v>359</v>
      </c>
      <c r="B280" t="s">
        <v>42</v>
      </c>
      <c r="C280" t="s">
        <v>322</v>
      </c>
      <c r="D280" t="s">
        <v>341</v>
      </c>
      <c r="E280">
        <v>3</v>
      </c>
      <c r="F280">
        <v>3</v>
      </c>
      <c r="G280">
        <v>6</v>
      </c>
      <c r="H280">
        <v>0</v>
      </c>
      <c r="I280">
        <v>6</v>
      </c>
      <c r="J280">
        <v>0</v>
      </c>
      <c r="K280" t="s">
        <v>37</v>
      </c>
    </row>
    <row r="281" spans="1:11" x14ac:dyDescent="0.3">
      <c r="A281" t="s">
        <v>360</v>
      </c>
      <c r="B281" t="s">
        <v>42</v>
      </c>
      <c r="C281" t="s">
        <v>322</v>
      </c>
      <c r="D281" t="s">
        <v>341</v>
      </c>
      <c r="E281">
        <v>3</v>
      </c>
      <c r="F281">
        <v>3</v>
      </c>
      <c r="G281">
        <v>1.3333333300000001</v>
      </c>
      <c r="H281">
        <v>0</v>
      </c>
      <c r="I281">
        <v>0.5</v>
      </c>
      <c r="J281">
        <v>0</v>
      </c>
      <c r="K281" t="s">
        <v>37</v>
      </c>
    </row>
    <row r="282" spans="1:11" x14ac:dyDescent="0.3">
      <c r="A282" s="24" t="s">
        <v>361</v>
      </c>
      <c r="B282" t="s">
        <v>42</v>
      </c>
      <c r="C282" t="s">
        <v>322</v>
      </c>
      <c r="D282" t="s">
        <v>362</v>
      </c>
      <c r="E282">
        <v>3</v>
      </c>
      <c r="F282">
        <v>0</v>
      </c>
      <c r="G282">
        <v>0</v>
      </c>
      <c r="H282">
        <v>100</v>
      </c>
      <c r="I282">
        <v>0</v>
      </c>
      <c r="J282">
        <v>0</v>
      </c>
      <c r="K282" t="s">
        <v>37</v>
      </c>
    </row>
    <row r="283" spans="1:11" x14ac:dyDescent="0.3">
      <c r="A283" t="s">
        <v>363</v>
      </c>
      <c r="B283" t="s">
        <v>42</v>
      </c>
      <c r="C283" t="s">
        <v>322</v>
      </c>
      <c r="D283" t="s">
        <v>362</v>
      </c>
      <c r="E283">
        <v>3</v>
      </c>
      <c r="F283">
        <v>0</v>
      </c>
      <c r="G283">
        <v>0</v>
      </c>
      <c r="H283">
        <v>100</v>
      </c>
      <c r="I283">
        <v>0</v>
      </c>
      <c r="J283">
        <v>0</v>
      </c>
      <c r="K283" t="s">
        <v>37</v>
      </c>
    </row>
    <row r="284" spans="1:11" x14ac:dyDescent="0.3">
      <c r="A284" t="s">
        <v>364</v>
      </c>
      <c r="B284" t="s">
        <v>42</v>
      </c>
      <c r="C284" t="s">
        <v>322</v>
      </c>
      <c r="D284" t="s">
        <v>362</v>
      </c>
      <c r="E284">
        <v>3</v>
      </c>
      <c r="F284">
        <v>0</v>
      </c>
      <c r="G284">
        <v>0</v>
      </c>
      <c r="H284">
        <v>100</v>
      </c>
      <c r="I284">
        <v>0</v>
      </c>
      <c r="J284">
        <v>0</v>
      </c>
      <c r="K284" t="s">
        <v>37</v>
      </c>
    </row>
    <row r="285" spans="1:11" x14ac:dyDescent="0.3">
      <c r="A285" t="s">
        <v>365</v>
      </c>
      <c r="B285" t="s">
        <v>42</v>
      </c>
      <c r="C285" t="s">
        <v>322</v>
      </c>
      <c r="D285" t="s">
        <v>362</v>
      </c>
      <c r="E285">
        <v>3</v>
      </c>
      <c r="F285">
        <v>0</v>
      </c>
      <c r="G285">
        <v>0</v>
      </c>
      <c r="H285">
        <v>100</v>
      </c>
      <c r="I285">
        <v>0</v>
      </c>
      <c r="J285">
        <v>0</v>
      </c>
      <c r="K285" t="s">
        <v>37</v>
      </c>
    </row>
    <row r="286" spans="1:11" x14ac:dyDescent="0.3">
      <c r="A286" t="s">
        <v>366</v>
      </c>
      <c r="B286" t="s">
        <v>42</v>
      </c>
      <c r="C286" t="s">
        <v>322</v>
      </c>
      <c r="D286" t="s">
        <v>362</v>
      </c>
      <c r="E286">
        <v>3</v>
      </c>
      <c r="F286">
        <v>0</v>
      </c>
      <c r="G286">
        <v>0</v>
      </c>
      <c r="H286">
        <v>100</v>
      </c>
      <c r="I286">
        <v>0</v>
      </c>
      <c r="J286">
        <v>0</v>
      </c>
      <c r="K286" t="s">
        <v>37</v>
      </c>
    </row>
    <row r="287" spans="1:11" x14ac:dyDescent="0.3">
      <c r="A287" t="s">
        <v>367</v>
      </c>
      <c r="B287" t="s">
        <v>42</v>
      </c>
      <c r="C287" t="s">
        <v>322</v>
      </c>
      <c r="D287" t="s">
        <v>362</v>
      </c>
      <c r="E287">
        <v>3</v>
      </c>
      <c r="F287">
        <v>0</v>
      </c>
      <c r="G287">
        <v>0</v>
      </c>
      <c r="H287">
        <v>100</v>
      </c>
      <c r="I287">
        <v>0</v>
      </c>
      <c r="J287">
        <v>0</v>
      </c>
      <c r="K287" t="s">
        <v>37</v>
      </c>
    </row>
    <row r="288" spans="1:11" x14ac:dyDescent="0.3">
      <c r="A288" t="s">
        <v>368</v>
      </c>
      <c r="B288" t="s">
        <v>42</v>
      </c>
      <c r="C288" t="s">
        <v>322</v>
      </c>
      <c r="D288" t="s">
        <v>362</v>
      </c>
      <c r="E288">
        <v>3</v>
      </c>
      <c r="F288">
        <v>0</v>
      </c>
      <c r="G288">
        <v>0</v>
      </c>
      <c r="H288">
        <v>100</v>
      </c>
      <c r="I288">
        <v>0</v>
      </c>
      <c r="J288">
        <v>0</v>
      </c>
      <c r="K288" t="s">
        <v>37</v>
      </c>
    </row>
    <row r="289" spans="1:11" x14ac:dyDescent="0.3">
      <c r="A289" t="s">
        <v>369</v>
      </c>
      <c r="B289" t="s">
        <v>42</v>
      </c>
      <c r="C289" t="s">
        <v>322</v>
      </c>
      <c r="D289" t="s">
        <v>362</v>
      </c>
      <c r="E289">
        <v>3</v>
      </c>
      <c r="F289">
        <v>0</v>
      </c>
      <c r="G289">
        <v>0</v>
      </c>
      <c r="H289">
        <v>100</v>
      </c>
      <c r="I289">
        <v>0</v>
      </c>
      <c r="J289">
        <v>0</v>
      </c>
      <c r="K289" t="s">
        <v>37</v>
      </c>
    </row>
    <row r="290" spans="1:11" x14ac:dyDescent="0.3">
      <c r="A290" t="s">
        <v>370</v>
      </c>
      <c r="B290" t="s">
        <v>42</v>
      </c>
      <c r="C290" t="s">
        <v>322</v>
      </c>
      <c r="D290" t="s">
        <v>362</v>
      </c>
      <c r="E290">
        <v>3</v>
      </c>
      <c r="F290">
        <v>0</v>
      </c>
      <c r="G290">
        <v>0</v>
      </c>
      <c r="H290">
        <v>100</v>
      </c>
      <c r="I290">
        <v>0</v>
      </c>
      <c r="J290">
        <v>0</v>
      </c>
      <c r="K290" t="s">
        <v>37</v>
      </c>
    </row>
    <row r="291" spans="1:11" x14ac:dyDescent="0.3">
      <c r="A291" t="s">
        <v>371</v>
      </c>
      <c r="B291" t="s">
        <v>42</v>
      </c>
      <c r="C291" t="s">
        <v>322</v>
      </c>
      <c r="D291" t="s">
        <v>362</v>
      </c>
      <c r="E291">
        <v>3</v>
      </c>
      <c r="F291">
        <v>0</v>
      </c>
      <c r="G291">
        <v>0</v>
      </c>
      <c r="H291">
        <v>100</v>
      </c>
      <c r="I291">
        <v>0</v>
      </c>
      <c r="J291">
        <v>0</v>
      </c>
      <c r="K291" t="s">
        <v>37</v>
      </c>
    </row>
    <row r="292" spans="1:11" x14ac:dyDescent="0.3">
      <c r="A292" t="s">
        <v>372</v>
      </c>
      <c r="B292" t="s">
        <v>42</v>
      </c>
      <c r="C292" t="s">
        <v>322</v>
      </c>
      <c r="D292" t="s">
        <v>362</v>
      </c>
      <c r="E292">
        <v>3</v>
      </c>
      <c r="F292">
        <v>0</v>
      </c>
      <c r="G292">
        <v>0</v>
      </c>
      <c r="H292">
        <v>100</v>
      </c>
      <c r="I292">
        <v>0</v>
      </c>
      <c r="J292">
        <v>0</v>
      </c>
      <c r="K292" t="s">
        <v>37</v>
      </c>
    </row>
    <row r="293" spans="1:11" x14ac:dyDescent="0.3">
      <c r="A293" t="s">
        <v>373</v>
      </c>
      <c r="B293" t="s">
        <v>42</v>
      </c>
      <c r="C293" t="s">
        <v>322</v>
      </c>
      <c r="D293" t="s">
        <v>362</v>
      </c>
      <c r="E293">
        <v>3</v>
      </c>
      <c r="F293">
        <v>0</v>
      </c>
      <c r="G293">
        <v>0</v>
      </c>
      <c r="H293">
        <v>100</v>
      </c>
      <c r="I293">
        <v>0</v>
      </c>
      <c r="J293">
        <v>0</v>
      </c>
      <c r="K293" t="s">
        <v>37</v>
      </c>
    </row>
    <row r="294" spans="1:11" x14ac:dyDescent="0.3">
      <c r="A294" t="s">
        <v>374</v>
      </c>
      <c r="B294" t="s">
        <v>42</v>
      </c>
      <c r="C294" t="s">
        <v>322</v>
      </c>
      <c r="D294" t="s">
        <v>362</v>
      </c>
      <c r="E294">
        <v>3</v>
      </c>
      <c r="F294">
        <v>0</v>
      </c>
      <c r="G294">
        <v>0</v>
      </c>
      <c r="H294">
        <v>100</v>
      </c>
      <c r="I294">
        <v>0</v>
      </c>
      <c r="J294">
        <v>0</v>
      </c>
      <c r="K294" t="s">
        <v>37</v>
      </c>
    </row>
    <row r="295" spans="1:11" x14ac:dyDescent="0.3">
      <c r="A295" t="s">
        <v>375</v>
      </c>
      <c r="B295" t="s">
        <v>42</v>
      </c>
      <c r="C295" t="s">
        <v>322</v>
      </c>
      <c r="D295" t="s">
        <v>362</v>
      </c>
      <c r="E295">
        <v>3</v>
      </c>
      <c r="F295">
        <v>0</v>
      </c>
      <c r="G295">
        <v>0</v>
      </c>
      <c r="H295">
        <v>100</v>
      </c>
      <c r="I295">
        <v>0</v>
      </c>
      <c r="J295">
        <v>0</v>
      </c>
      <c r="K295" t="s">
        <v>37</v>
      </c>
    </row>
    <row r="296" spans="1:11" x14ac:dyDescent="0.3">
      <c r="A296" t="s">
        <v>376</v>
      </c>
      <c r="B296" t="s">
        <v>42</v>
      </c>
      <c r="C296" t="s">
        <v>322</v>
      </c>
      <c r="D296" t="s">
        <v>362</v>
      </c>
      <c r="E296">
        <v>3</v>
      </c>
      <c r="F296">
        <v>0</v>
      </c>
      <c r="G296">
        <v>0</v>
      </c>
      <c r="H296">
        <v>100</v>
      </c>
      <c r="I296">
        <v>0</v>
      </c>
      <c r="J296">
        <v>0</v>
      </c>
      <c r="K296" t="s">
        <v>37</v>
      </c>
    </row>
    <row r="297" spans="1:11" x14ac:dyDescent="0.3">
      <c r="A297" t="s">
        <v>377</v>
      </c>
      <c r="B297" t="s">
        <v>42</v>
      </c>
      <c r="C297" t="s">
        <v>322</v>
      </c>
      <c r="D297" t="s">
        <v>362</v>
      </c>
      <c r="E297">
        <v>3</v>
      </c>
      <c r="F297">
        <v>0</v>
      </c>
      <c r="G297">
        <v>0</v>
      </c>
      <c r="H297">
        <v>100</v>
      </c>
      <c r="I297">
        <v>0</v>
      </c>
      <c r="J297">
        <v>0</v>
      </c>
      <c r="K297" t="s">
        <v>37</v>
      </c>
    </row>
    <row r="298" spans="1:11" x14ac:dyDescent="0.3">
      <c r="A298" t="s">
        <v>378</v>
      </c>
      <c r="B298" t="s">
        <v>42</v>
      </c>
      <c r="C298" t="s">
        <v>322</v>
      </c>
      <c r="D298" t="s">
        <v>362</v>
      </c>
      <c r="E298">
        <v>3</v>
      </c>
      <c r="F298">
        <v>0</v>
      </c>
      <c r="G298">
        <v>0</v>
      </c>
      <c r="H298">
        <v>100</v>
      </c>
      <c r="I298">
        <v>0</v>
      </c>
      <c r="J298">
        <v>0</v>
      </c>
      <c r="K298" t="s">
        <v>37</v>
      </c>
    </row>
    <row r="299" spans="1:11" x14ac:dyDescent="0.3">
      <c r="A299" t="s">
        <v>379</v>
      </c>
      <c r="B299" t="s">
        <v>42</v>
      </c>
      <c r="C299" t="s">
        <v>322</v>
      </c>
      <c r="D299" t="s">
        <v>362</v>
      </c>
      <c r="E299">
        <v>3</v>
      </c>
      <c r="F299">
        <v>0</v>
      </c>
      <c r="G299">
        <v>0</v>
      </c>
      <c r="H299">
        <v>100</v>
      </c>
      <c r="I299">
        <v>0</v>
      </c>
      <c r="J299">
        <v>0</v>
      </c>
      <c r="K299" t="s">
        <v>37</v>
      </c>
    </row>
    <row r="300" spans="1:11" x14ac:dyDescent="0.3">
      <c r="A300" t="s">
        <v>380</v>
      </c>
      <c r="B300" t="s">
        <v>42</v>
      </c>
      <c r="C300" t="s">
        <v>322</v>
      </c>
      <c r="D300" t="s">
        <v>362</v>
      </c>
      <c r="E300">
        <v>3</v>
      </c>
      <c r="F300">
        <v>0</v>
      </c>
      <c r="G300">
        <v>0</v>
      </c>
      <c r="H300">
        <v>100</v>
      </c>
      <c r="I300">
        <v>0</v>
      </c>
      <c r="J300">
        <v>0</v>
      </c>
      <c r="K300" t="s">
        <v>37</v>
      </c>
    </row>
    <row r="301" spans="1:11" x14ac:dyDescent="0.3">
      <c r="A301" t="s">
        <v>381</v>
      </c>
      <c r="B301" t="s">
        <v>42</v>
      </c>
      <c r="C301" t="s">
        <v>322</v>
      </c>
      <c r="D301" t="s">
        <v>362</v>
      </c>
      <c r="E301">
        <v>3</v>
      </c>
      <c r="F301">
        <v>0</v>
      </c>
      <c r="G301">
        <v>0</v>
      </c>
      <c r="H301">
        <v>100</v>
      </c>
      <c r="I301">
        <v>0</v>
      </c>
      <c r="J301">
        <v>0</v>
      </c>
      <c r="K301" t="s">
        <v>37</v>
      </c>
    </row>
    <row r="302" spans="1:11" x14ac:dyDescent="0.3">
      <c r="A302" s="23" t="s">
        <v>382</v>
      </c>
      <c r="B302" t="s">
        <v>42</v>
      </c>
      <c r="C302" t="s">
        <v>322</v>
      </c>
      <c r="D302" t="s">
        <v>383</v>
      </c>
      <c r="E302">
        <v>3</v>
      </c>
      <c r="F302">
        <v>0</v>
      </c>
      <c r="G302">
        <v>0</v>
      </c>
      <c r="H302">
        <v>100</v>
      </c>
      <c r="I302">
        <v>0</v>
      </c>
      <c r="J302">
        <v>0</v>
      </c>
      <c r="K302" t="s">
        <v>37</v>
      </c>
    </row>
    <row r="303" spans="1:11" x14ac:dyDescent="0.3">
      <c r="A303" t="s">
        <v>384</v>
      </c>
      <c r="B303" t="s">
        <v>42</v>
      </c>
      <c r="C303" t="s">
        <v>322</v>
      </c>
      <c r="D303" t="s">
        <v>383</v>
      </c>
      <c r="E303">
        <v>3</v>
      </c>
      <c r="F303">
        <v>0</v>
      </c>
      <c r="G303">
        <v>0</v>
      </c>
      <c r="H303">
        <v>100</v>
      </c>
      <c r="I303">
        <v>0</v>
      </c>
      <c r="J303">
        <v>0</v>
      </c>
      <c r="K303" t="s">
        <v>37</v>
      </c>
    </row>
    <row r="304" spans="1:11" x14ac:dyDescent="0.3">
      <c r="A304" t="s">
        <v>385</v>
      </c>
      <c r="B304" t="s">
        <v>42</v>
      </c>
      <c r="C304" t="s">
        <v>322</v>
      </c>
      <c r="D304" t="s">
        <v>383</v>
      </c>
      <c r="E304">
        <v>3</v>
      </c>
      <c r="F304">
        <v>0</v>
      </c>
      <c r="G304">
        <v>0</v>
      </c>
      <c r="H304">
        <v>100</v>
      </c>
      <c r="I304">
        <v>0</v>
      </c>
      <c r="J304">
        <v>1</v>
      </c>
      <c r="K304" t="s">
        <v>37</v>
      </c>
    </row>
    <row r="305" spans="1:11" x14ac:dyDescent="0.3">
      <c r="A305" t="s">
        <v>386</v>
      </c>
      <c r="B305" t="s">
        <v>42</v>
      </c>
      <c r="C305" t="s">
        <v>322</v>
      </c>
      <c r="D305" t="s">
        <v>383</v>
      </c>
      <c r="E305">
        <v>3</v>
      </c>
      <c r="F305">
        <v>0</v>
      </c>
      <c r="G305">
        <v>0</v>
      </c>
      <c r="H305">
        <v>100</v>
      </c>
      <c r="I305">
        <v>0</v>
      </c>
      <c r="J305">
        <v>1</v>
      </c>
      <c r="K305" t="s">
        <v>37</v>
      </c>
    </row>
    <row r="306" spans="1:11" x14ac:dyDescent="0.3">
      <c r="A306" t="s">
        <v>387</v>
      </c>
      <c r="B306" t="s">
        <v>42</v>
      </c>
      <c r="C306" t="s">
        <v>322</v>
      </c>
      <c r="D306" t="s">
        <v>383</v>
      </c>
      <c r="E306">
        <v>3</v>
      </c>
      <c r="F306">
        <v>0</v>
      </c>
      <c r="G306">
        <v>0</v>
      </c>
      <c r="H306">
        <v>100</v>
      </c>
      <c r="I306">
        <v>0</v>
      </c>
      <c r="J306">
        <v>1</v>
      </c>
      <c r="K306" t="s">
        <v>37</v>
      </c>
    </row>
    <row r="307" spans="1:11" x14ac:dyDescent="0.3">
      <c r="A307" t="s">
        <v>388</v>
      </c>
      <c r="B307" t="s">
        <v>42</v>
      </c>
      <c r="C307" t="s">
        <v>322</v>
      </c>
      <c r="D307" t="s">
        <v>383</v>
      </c>
      <c r="E307">
        <v>3</v>
      </c>
      <c r="F307">
        <v>0</v>
      </c>
      <c r="G307">
        <v>0</v>
      </c>
      <c r="H307">
        <v>100</v>
      </c>
      <c r="I307">
        <v>0</v>
      </c>
      <c r="J307">
        <v>1</v>
      </c>
      <c r="K307" t="s">
        <v>37</v>
      </c>
    </row>
    <row r="308" spans="1:11" x14ac:dyDescent="0.3">
      <c r="A308" t="s">
        <v>389</v>
      </c>
      <c r="B308" t="s">
        <v>42</v>
      </c>
      <c r="C308" t="s">
        <v>322</v>
      </c>
      <c r="D308" t="s">
        <v>383</v>
      </c>
      <c r="E308">
        <v>3</v>
      </c>
      <c r="F308">
        <v>0</v>
      </c>
      <c r="G308">
        <v>0</v>
      </c>
      <c r="H308">
        <v>100</v>
      </c>
      <c r="I308">
        <v>0</v>
      </c>
      <c r="J308">
        <v>0</v>
      </c>
      <c r="K308" t="s">
        <v>37</v>
      </c>
    </row>
    <row r="309" spans="1:11" x14ac:dyDescent="0.3">
      <c r="A309" t="s">
        <v>390</v>
      </c>
      <c r="B309" t="s">
        <v>42</v>
      </c>
      <c r="C309" t="s">
        <v>322</v>
      </c>
      <c r="D309" t="s">
        <v>383</v>
      </c>
      <c r="E309">
        <v>3</v>
      </c>
      <c r="F309">
        <v>0</v>
      </c>
      <c r="G309">
        <v>0</v>
      </c>
      <c r="H309">
        <v>100</v>
      </c>
      <c r="I309">
        <v>0</v>
      </c>
      <c r="J309">
        <v>1</v>
      </c>
      <c r="K309" t="s">
        <v>37</v>
      </c>
    </row>
    <row r="310" spans="1:11" x14ac:dyDescent="0.3">
      <c r="A310" t="s">
        <v>391</v>
      </c>
      <c r="B310" t="s">
        <v>42</v>
      </c>
      <c r="C310" t="s">
        <v>322</v>
      </c>
      <c r="D310" t="s">
        <v>383</v>
      </c>
      <c r="E310">
        <v>3</v>
      </c>
      <c r="F310">
        <v>0</v>
      </c>
      <c r="G310">
        <v>0</v>
      </c>
      <c r="H310">
        <v>100</v>
      </c>
      <c r="I310">
        <v>0</v>
      </c>
      <c r="J310">
        <v>0</v>
      </c>
      <c r="K310" t="s">
        <v>37</v>
      </c>
    </row>
    <row r="311" spans="1:11" x14ac:dyDescent="0.3">
      <c r="A311" t="s">
        <v>392</v>
      </c>
      <c r="B311" t="s">
        <v>42</v>
      </c>
      <c r="C311" t="s">
        <v>322</v>
      </c>
      <c r="D311" t="s">
        <v>383</v>
      </c>
      <c r="E311">
        <v>3</v>
      </c>
      <c r="F311">
        <v>0</v>
      </c>
      <c r="G311">
        <v>0</v>
      </c>
      <c r="H311">
        <v>100</v>
      </c>
      <c r="I311">
        <v>0</v>
      </c>
      <c r="J311">
        <v>0</v>
      </c>
      <c r="K311" t="s">
        <v>37</v>
      </c>
    </row>
    <row r="312" spans="1:11" x14ac:dyDescent="0.3">
      <c r="A312" t="s">
        <v>393</v>
      </c>
      <c r="B312" t="s">
        <v>42</v>
      </c>
      <c r="C312" t="s">
        <v>322</v>
      </c>
      <c r="D312" t="s">
        <v>383</v>
      </c>
      <c r="E312">
        <v>3</v>
      </c>
      <c r="F312">
        <v>0</v>
      </c>
      <c r="G312">
        <v>0</v>
      </c>
      <c r="H312">
        <v>100</v>
      </c>
      <c r="I312">
        <v>0</v>
      </c>
      <c r="J312">
        <v>1</v>
      </c>
      <c r="K312" t="s">
        <v>37</v>
      </c>
    </row>
    <row r="313" spans="1:11" x14ac:dyDescent="0.3">
      <c r="A313" t="s">
        <v>394</v>
      </c>
      <c r="B313" t="s">
        <v>42</v>
      </c>
      <c r="C313" t="s">
        <v>322</v>
      </c>
      <c r="D313" t="s">
        <v>383</v>
      </c>
      <c r="E313">
        <v>3</v>
      </c>
      <c r="F313">
        <v>0</v>
      </c>
      <c r="G313">
        <v>0</v>
      </c>
      <c r="H313">
        <v>100</v>
      </c>
      <c r="I313">
        <v>0</v>
      </c>
      <c r="J313">
        <v>1</v>
      </c>
      <c r="K313" t="s">
        <v>37</v>
      </c>
    </row>
    <row r="314" spans="1:11" x14ac:dyDescent="0.3">
      <c r="A314" t="s">
        <v>395</v>
      </c>
      <c r="B314" t="s">
        <v>42</v>
      </c>
      <c r="C314" t="s">
        <v>322</v>
      </c>
      <c r="D314" t="s">
        <v>383</v>
      </c>
      <c r="E314">
        <v>3</v>
      </c>
      <c r="F314">
        <v>0</v>
      </c>
      <c r="G314">
        <v>0</v>
      </c>
      <c r="H314">
        <v>100</v>
      </c>
      <c r="I314">
        <v>0</v>
      </c>
      <c r="J314">
        <v>0</v>
      </c>
      <c r="K314" t="s">
        <v>37</v>
      </c>
    </row>
    <row r="315" spans="1:11" x14ac:dyDescent="0.3">
      <c r="A315" t="s">
        <v>396</v>
      </c>
      <c r="B315" t="s">
        <v>42</v>
      </c>
      <c r="C315" t="s">
        <v>322</v>
      </c>
      <c r="D315" t="s">
        <v>383</v>
      </c>
      <c r="E315">
        <v>3</v>
      </c>
      <c r="F315">
        <v>0</v>
      </c>
      <c r="G315">
        <v>0</v>
      </c>
      <c r="H315">
        <v>100</v>
      </c>
      <c r="I315">
        <v>0</v>
      </c>
      <c r="J315">
        <v>0</v>
      </c>
      <c r="K315" t="s">
        <v>37</v>
      </c>
    </row>
    <row r="316" spans="1:11" x14ac:dyDescent="0.3">
      <c r="A316" t="s">
        <v>397</v>
      </c>
      <c r="B316" t="s">
        <v>42</v>
      </c>
      <c r="C316" t="s">
        <v>322</v>
      </c>
      <c r="D316" t="s">
        <v>383</v>
      </c>
      <c r="E316">
        <v>3</v>
      </c>
      <c r="F316">
        <v>0</v>
      </c>
      <c r="G316">
        <v>0</v>
      </c>
      <c r="H316">
        <v>100</v>
      </c>
      <c r="I316">
        <v>0</v>
      </c>
      <c r="J316">
        <v>1</v>
      </c>
      <c r="K316" t="s">
        <v>37</v>
      </c>
    </row>
    <row r="317" spans="1:11" x14ac:dyDescent="0.3">
      <c r="A317" t="s">
        <v>398</v>
      </c>
      <c r="B317" t="s">
        <v>42</v>
      </c>
      <c r="C317" t="s">
        <v>322</v>
      </c>
      <c r="D317" t="s">
        <v>383</v>
      </c>
      <c r="E317">
        <v>3</v>
      </c>
      <c r="F317">
        <v>0</v>
      </c>
      <c r="G317">
        <v>0</v>
      </c>
      <c r="H317">
        <v>100</v>
      </c>
      <c r="I317">
        <v>0</v>
      </c>
      <c r="J317">
        <v>0</v>
      </c>
      <c r="K317" t="s">
        <v>37</v>
      </c>
    </row>
    <row r="318" spans="1:11" x14ac:dyDescent="0.3">
      <c r="A318" t="s">
        <v>399</v>
      </c>
      <c r="B318" t="s">
        <v>42</v>
      </c>
      <c r="C318" t="s">
        <v>322</v>
      </c>
      <c r="D318" t="s">
        <v>383</v>
      </c>
      <c r="E318">
        <v>3</v>
      </c>
      <c r="F318">
        <v>0</v>
      </c>
      <c r="G318">
        <v>0</v>
      </c>
      <c r="H318">
        <v>100</v>
      </c>
      <c r="I318">
        <v>0</v>
      </c>
      <c r="J318">
        <v>0</v>
      </c>
      <c r="K318" t="s">
        <v>37</v>
      </c>
    </row>
    <row r="319" spans="1:11" x14ac:dyDescent="0.3">
      <c r="A319" t="s">
        <v>400</v>
      </c>
      <c r="B319" t="s">
        <v>42</v>
      </c>
      <c r="C319" t="s">
        <v>322</v>
      </c>
      <c r="D319" t="s">
        <v>383</v>
      </c>
      <c r="E319">
        <v>3</v>
      </c>
      <c r="F319">
        <v>0</v>
      </c>
      <c r="G319">
        <v>0</v>
      </c>
      <c r="H319">
        <v>100</v>
      </c>
      <c r="I319">
        <v>0</v>
      </c>
      <c r="J319">
        <v>1</v>
      </c>
      <c r="K319" t="s">
        <v>37</v>
      </c>
    </row>
    <row r="320" spans="1:11" x14ac:dyDescent="0.3">
      <c r="A320" t="s">
        <v>401</v>
      </c>
      <c r="B320" t="s">
        <v>42</v>
      </c>
      <c r="C320" t="s">
        <v>322</v>
      </c>
      <c r="D320" t="s">
        <v>383</v>
      </c>
      <c r="E320">
        <v>3</v>
      </c>
      <c r="F320">
        <v>0</v>
      </c>
      <c r="G320">
        <v>0</v>
      </c>
      <c r="H320">
        <v>100</v>
      </c>
      <c r="I320">
        <v>0</v>
      </c>
      <c r="J320">
        <v>0</v>
      </c>
      <c r="K320" t="s">
        <v>37</v>
      </c>
    </row>
    <row r="321" spans="1:11" x14ac:dyDescent="0.3">
      <c r="A321" t="s">
        <v>402</v>
      </c>
      <c r="B321" t="s">
        <v>42</v>
      </c>
      <c r="C321" t="s">
        <v>322</v>
      </c>
      <c r="D321" t="s">
        <v>383</v>
      </c>
      <c r="E321">
        <v>3</v>
      </c>
      <c r="F321">
        <v>0</v>
      </c>
      <c r="G321">
        <v>0</v>
      </c>
      <c r="H321">
        <v>100</v>
      </c>
      <c r="I321">
        <v>0</v>
      </c>
      <c r="J321">
        <v>1</v>
      </c>
      <c r="K321" t="s">
        <v>37</v>
      </c>
    </row>
    <row r="322" spans="1:11" x14ac:dyDescent="0.3">
      <c r="A322" s="23"/>
    </row>
    <row r="346" spans="1:1" x14ac:dyDescent="0.3">
      <c r="A346" s="2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Legenda</vt:lpstr>
      <vt:lpstr>Coleta</vt:lpstr>
      <vt:lpstr>Baseline</vt:lpstr>
      <vt:lpstr>medicoes_pt.csv.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Stephanie Vitória</cp:lastModifiedBy>
  <cp:revision>0</cp:revision>
  <dcterms:created xsi:type="dcterms:W3CDTF">2026-10-17T18:20:17Z</dcterms:created>
  <dcterms:modified xsi:type="dcterms:W3CDTF">2026-10-18T23:46:46Z</dcterms:modified>
  <dc:language>en-US</dc:language>
</cp:coreProperties>
</file>